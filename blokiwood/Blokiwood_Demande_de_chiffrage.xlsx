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CA9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" sheetId="1" state="visible" r:id="rId1"/>
    <sheet xmlns:r="http://schemas.openxmlformats.org/officeDocument/2006/relationships" name="Ouvertures" sheetId="2" state="visible" r:id="rId2"/>
    <sheet xmlns:r="http://schemas.openxmlformats.org/officeDocument/2006/relationships" name="Façades et planchers" sheetId="3" state="visible" r:id="rId3"/>
    <sheet xmlns:r="http://schemas.openxmlformats.org/officeDocument/2006/relationships" name="Intern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#,##0 &quot;€&quot;"/>
    <numFmt numFmtId="166" formatCode="#,##0.0"/>
    <numFmt numFmtId="167" formatCode="0.0"/>
    <numFmt numFmtId="168" formatCode="0.00&quot; m&quot;"/>
    <numFmt numFmtId="169" formatCode="#,##0 &quot;€/m²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595959"/>
      <sz val="10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7F7F7F"/>
      <sz val="9"/>
    </font>
    <font>
      <name val="Arial"/>
      <b val="1"/>
      <color rgb="005B3A1E"/>
      <sz val="14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b val="1"/>
      <color rgb="005B3A1E"/>
      <sz val="11"/>
    </font>
    <font>
      <name val="Arial"/>
      <b val="1"/>
      <color rgb="00000000"/>
      <sz val="9"/>
    </font>
    <font>
      <name val="Arial"/>
      <b val="1"/>
      <color rgb="00C00000"/>
      <sz val="12"/>
    </font>
    <font>
      <name val="Arial"/>
      <color rgb="00000000"/>
      <sz val="9"/>
    </font>
    <font>
      <name val="Arial"/>
      <color rgb="000000FF"/>
      <sz val="9"/>
    </font>
  </fonts>
  <fills count="6">
    <fill>
      <patternFill/>
    </fill>
    <fill>
      <patternFill patternType="gray125"/>
    </fill>
    <fill>
      <patternFill patternType="solid">
        <fgColor rgb="005B3A1E"/>
        <bgColor rgb="005B3A1E"/>
      </patternFill>
    </fill>
    <fill>
      <patternFill patternType="solid">
        <fgColor rgb="00FFF7CC"/>
        <bgColor rgb="00FFF7CC"/>
      </patternFill>
    </fill>
    <fill>
      <patternFill patternType="solid">
        <fgColor rgb="00C8A27A"/>
        <bgColor rgb="00C8A27A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0" pivotButton="0" quotePrefix="0" xfId="0"/>
    <xf numFmtId="0" fontId="2" fillId="3" borderId="1" applyProtection="1" pivotButton="0" quotePrefix="0" xfId="0">
      <protection locked="0" hidden="0"/>
    </xf>
    <xf numFmtId="0" fontId="4" fillId="0" borderId="0" pivotButton="0" quotePrefix="0" xfId="0"/>
    <xf numFmtId="0" fontId="5" fillId="0" borderId="0" pivotButton="0" quotePrefix="0" xfId="0"/>
    <xf numFmtId="9" fontId="9" fillId="0" borderId="0" applyAlignment="1" pivotButton="0" quotePrefix="0" xfId="0">
      <alignment horizontal="left"/>
    </xf>
    <xf numFmtId="0" fontId="6" fillId="4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0" fontId="7" fillId="3" borderId="1" applyAlignment="1" applyProtection="1" pivotButton="0" quotePrefix="0" xfId="0">
      <alignment horizontal="lef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indent="1"/>
    </xf>
    <xf numFmtId="0" fontId="7" fillId="3" borderId="1" applyAlignment="1" applyProtection="1" pivotButton="0" quotePrefix="0" xfId="0">
      <alignment horizontal="left" vertical="center"/>
      <protection locked="0" hidden="0"/>
    </xf>
    <xf numFmtId="3" fontId="7" fillId="3" borderId="1" applyAlignment="1" applyProtection="1" pivotButton="0" quotePrefix="0" xfId="0">
      <alignment horizontal="left" vertical="center"/>
      <protection locked="0" hidden="0"/>
    </xf>
    <xf numFmtId="164" fontId="7" fillId="3" borderId="1" applyAlignment="1" applyProtection="1" pivotButton="0" quotePrefix="0" xfId="0">
      <alignment horizontal="left" vertical="center"/>
      <protection locked="0" hidden="0"/>
    </xf>
    <xf numFmtId="165" fontId="7" fillId="3" borderId="1" applyAlignment="1" applyProtection="1" pivotButton="0" quotePrefix="0" xfId="0">
      <alignment horizontal="left" vertical="center"/>
      <protection locked="0" hidden="0"/>
    </xf>
    <xf numFmtId="166" fontId="7" fillId="3" borderId="1" applyAlignment="1" applyProtection="1" pivotButton="0" quotePrefix="0" xfId="0">
      <alignment horizontal="left" vertical="center"/>
      <protection locked="0" hidden="0"/>
    </xf>
    <xf numFmtId="2" fontId="7" fillId="3" borderId="1" applyAlignment="1" applyProtection="1" pivotButton="0" quotePrefix="0" xfId="0">
      <alignment horizontal="left" vertical="center"/>
      <protection locked="0" hidden="0"/>
    </xf>
    <xf numFmtId="1" fontId="7" fillId="3" borderId="1" applyAlignment="1" applyProtection="1" pivotButton="0" quotePrefix="0" xfId="0">
      <alignment horizontal="left" vertical="center"/>
      <protection locked="0" hidden="0"/>
    </xf>
    <xf numFmtId="167" fontId="7" fillId="3" borderId="1" applyAlignment="1" applyProtection="1" pivotButton="0" quotePrefix="0" xfId="0">
      <alignment horizontal="left" vertical="center"/>
      <protection locked="0" hidden="0"/>
    </xf>
    <xf numFmtId="0" fontId="7" fillId="3" borderId="1" applyAlignment="1" applyProtection="1" pivotButton="0" quotePrefix="0" xfId="0">
      <alignment vertical="top" wrapText="1"/>
      <protection locked="0" hidden="0"/>
    </xf>
    <xf numFmtId="0" fontId="10" fillId="2" borderId="0" applyAlignment="1" pivotButton="0" quotePrefix="0" xfId="0">
      <alignment vertical="center" indent="1"/>
    </xf>
    <xf numFmtId="0" fontId="11" fillId="0" borderId="0" applyAlignment="1" pivotButton="0" quotePrefix="0" xfId="0">
      <alignment vertical="top" wrapText="1" inden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7" fillId="3" borderId="1" applyAlignment="1" applyProtection="1" pivotButton="0" quotePrefix="0" xfId="0">
      <alignment horizontal="center" vertical="center"/>
      <protection locked="0" hidden="0"/>
    </xf>
    <xf numFmtId="3" fontId="7" fillId="3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2" fontId="3" fillId="0" borderId="1" pivotButton="0" quotePrefix="0" xfId="0"/>
    <xf numFmtId="0" fontId="14" fillId="0" borderId="0" pivotButton="0" quotePrefix="0" xfId="0"/>
    <xf numFmtId="0" fontId="3" fillId="0" borderId="1" applyAlignment="1" pivotButton="0" quotePrefix="0" xfId="0">
      <alignment horizontal="center" vertical="center"/>
    </xf>
    <xf numFmtId="2" fontId="7" fillId="3" borderId="1" applyAlignment="1" applyProtection="1" pivotButton="0" quotePrefix="0" xfId="0">
      <alignment horizontal="center" vertical="center"/>
      <protection locked="0" hidden="0"/>
    </xf>
    <xf numFmtId="9" fontId="2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/>
    </xf>
    <xf numFmtId="9" fontId="3" fillId="0" borderId="1" applyAlignment="1" pivotButton="0" quotePrefix="0" xfId="0">
      <alignment horizontal="center"/>
    </xf>
    <xf numFmtId="0" fontId="11" fillId="0" borderId="0" pivotButton="0" quotePrefix="0" xfId="0"/>
    <xf numFmtId="168" fontId="11" fillId="0" borderId="0" pivotButton="0" quotePrefix="0" xfId="0"/>
    <xf numFmtId="0" fontId="7" fillId="3" borderId="1" applyAlignment="1" applyProtection="1" pivotButton="0" quotePrefix="0" xfId="0">
      <alignment horizontal="center"/>
      <protection locked="0" hidden="0"/>
    </xf>
    <xf numFmtId="2" fontId="7" fillId="3" borderId="1" applyAlignment="1" applyProtection="1" pivotButton="0" quotePrefix="0" xfId="0">
      <alignment horizontal="center"/>
      <protection locked="0" hidden="0"/>
    </xf>
    <xf numFmtId="168" fontId="3" fillId="0" borderId="1" pivotButton="0" quotePrefix="0" xfId="0"/>
    <xf numFmtId="0" fontId="15" fillId="0" borderId="1" applyAlignment="1" pivotButton="0" quotePrefix="0" xfId="0">
      <alignment vertical="center" wrapText="1"/>
    </xf>
    <xf numFmtId="167" fontId="7" fillId="3" borderId="1" applyAlignment="1" applyProtection="1" pivotButton="0" quotePrefix="0" xfId="0">
      <alignment horizontal="center" vertical="center"/>
      <protection locked="0" hidden="0"/>
    </xf>
    <xf numFmtId="0" fontId="16" fillId="0" borderId="0" pivotButton="0" quotePrefix="0" xfId="0"/>
    <xf numFmtId="0" fontId="12" fillId="2" borderId="1" pivotButton="0" quotePrefix="0" xfId="0"/>
    <xf numFmtId="0" fontId="12" fillId="2" borderId="0" pivotButton="0" quotePrefix="0" xfId="0"/>
    <xf numFmtId="0" fontId="2" fillId="0" borderId="1" pivotButton="0" quotePrefix="0" xfId="0"/>
    <xf numFmtId="0" fontId="17" fillId="0" borderId="0" pivotButton="0" quotePrefix="0" xfId="0"/>
    <xf numFmtId="0" fontId="18" fillId="0" borderId="0" pivotButton="0" quotePrefix="0" xfId="0"/>
    <xf numFmtId="164" fontId="2" fillId="0" borderId="1" pivotButton="0" quotePrefix="0" xfId="0"/>
    <xf numFmtId="9" fontId="2" fillId="0" borderId="1" pivotButton="0" quotePrefix="0" xfId="0"/>
    <xf numFmtId="0" fontId="5" fillId="0" borderId="1" pivotButton="0" quotePrefix="0" xfId="0"/>
    <xf numFmtId="0" fontId="2" fillId="0" borderId="0" pivotButton="0" quotePrefix="0" xfId="0"/>
    <xf numFmtId="165" fontId="2" fillId="0" borderId="0" applyAlignment="1" pivotButton="0" quotePrefix="0" xfId="0">
      <alignment horizontal="left"/>
    </xf>
    <xf numFmtId="16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167" fontId="2" fillId="0" borderId="0" applyAlignment="1" pivotButton="0" quotePrefix="0" xfId="0">
      <alignment horizontal="left"/>
    </xf>
  </cellXfs>
  <cellStyles count="1">
    <cellStyle name="Normal" xfId="0" builtinId="0" hidden="0"/>
  </cellStyles>
  <dxfs count="3">
    <dxf>
      <fill>
        <patternFill patternType="solid">
          <fgColor rgb="00FCD5B4"/>
          <bgColor rgb="00FCD5B4"/>
        </patternFill>
      </fill>
    </dxf>
    <dxf>
      <font>
        <name val="Arial"/>
        <color rgb="009C0006"/>
      </font>
      <fill>
        <patternFill patternType="solid">
          <fgColor rgb="00FCD5B4"/>
          <bgColor rgb="00FCD5B4"/>
        </patternFill>
      </fill>
    </dxf>
    <dxf>
      <font>
        <name val="Arial"/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58" customWidth="1" min="3" max="3"/>
    <col hidden="1" width="13" customWidth="1" min="4" max="4"/>
  </cols>
  <sheetData>
    <row r="1" ht="32" customHeight="1">
      <c r="A1" s="1" t="inlineStr">
        <is>
          <t>BLOKIWOOD — Demande de chiffrage d'un kit structure bois</t>
        </is>
      </c>
    </row>
    <row r="2" ht="44" customHeight="1">
      <c r="A2" s="2" t="inlineStr">
        <is>
          <t>Chaque kit est calculé et fabriqué sur mesure pour votre projet. Un chiffrage fiable demande plusieurs heures d'étude et de calcul de structure : merci de compléter ce dossier le plus précisément possible et de nous le retourner avec vos plans.</t>
        </is>
      </c>
    </row>
    <row r="3">
      <c r="A3" s="3" t="inlineStr">
        <is>
          <t>Légende</t>
        </is>
      </c>
      <c r="B3" s="4" t="inlineStr">
        <is>
          <t>Case à compléter</t>
        </is>
      </c>
      <c r="C3" s="5" t="inlineStr">
        <is>
          <t>*  = information indispensable au chiffrage (case orangée tant qu'elle est vide)</t>
        </is>
      </c>
    </row>
    <row r="4">
      <c r="A4" s="6" t="inlineStr">
        <is>
          <t>Dossier complété à</t>
        </is>
      </c>
      <c r="B4" s="7">
        <f>IFERROR(SUMPRODUCT(($D$7:$D$98=1)*($B$7:$B$98&lt;&gt;""))/SUM($D$7:$D$98),0)</f>
        <v/>
      </c>
      <c r="C4" s="5" t="inlineStr">
        <is>
          <t>Onglets à remplir : 1. Projet  ·  2. Ouvertures  ·  3. Façades &amp; planchers</t>
        </is>
      </c>
    </row>
    <row r="5"/>
    <row r="6" ht="20" customHeight="1">
      <c r="A6" s="8" t="inlineStr">
        <is>
          <t>1. Vos coordonnées</t>
        </is>
      </c>
    </row>
    <row r="7">
      <c r="A7" s="9" t="inlineStr">
        <is>
          <t>Nom et prénom *</t>
        </is>
      </c>
      <c r="B7" s="10" t="n"/>
      <c r="C7" s="11" t="inlineStr"/>
      <c r="D7" t="n">
        <v>1</v>
      </c>
    </row>
    <row r="8">
      <c r="A8" s="12" t="inlineStr">
        <is>
          <t>Société (si professionnel)</t>
        </is>
      </c>
      <c r="B8" s="10" t="n"/>
      <c r="C8" s="11" t="inlineStr"/>
    </row>
    <row r="9">
      <c r="A9" s="9" t="inlineStr">
        <is>
          <t>Téléphone *</t>
        </is>
      </c>
      <c r="B9" s="10" t="n"/>
      <c r="C9" s="11" t="inlineStr">
        <is>
          <t>Ex. : 06 12 34 56 78</t>
        </is>
      </c>
      <c r="D9" t="n">
        <v>1</v>
      </c>
    </row>
    <row r="10">
      <c r="A10" s="9" t="inlineStr">
        <is>
          <t>E-mail *</t>
        </is>
      </c>
      <c r="B10" s="10" t="n"/>
      <c r="C10" s="11" t="inlineStr"/>
      <c r="D10" t="n">
        <v>1</v>
      </c>
    </row>
    <row r="11">
      <c r="A11" s="12" t="inlineStr">
        <is>
          <t>Adresse actuelle</t>
        </is>
      </c>
      <c r="B11" s="10" t="n"/>
      <c r="C11" s="11" t="inlineStr"/>
    </row>
    <row r="12"/>
    <row r="13" ht="20" customHeight="1">
      <c r="A13" s="8" t="inlineStr">
        <is>
          <t>2. Le terrain</t>
        </is>
      </c>
    </row>
    <row r="14">
      <c r="A14" s="9" t="inlineStr">
        <is>
          <t>Adresse du terrain *</t>
        </is>
      </c>
      <c r="B14" s="10" t="n"/>
      <c r="C14" s="11" t="inlineStr">
        <is>
          <t>Rue / lieu-dit</t>
        </is>
      </c>
      <c r="D14" t="n">
        <v>1</v>
      </c>
    </row>
    <row r="15">
      <c r="A15" s="9" t="inlineStr">
        <is>
          <t>Code postal et commune *</t>
        </is>
      </c>
      <c r="B15" s="10" t="n"/>
      <c r="C15" s="11" t="inlineStr">
        <is>
          <t>Ex. : 44000 Nantes</t>
        </is>
      </c>
      <c r="D15" t="n">
        <v>1</v>
      </c>
    </row>
    <row r="16">
      <c r="A16" s="9" t="inlineStr">
        <is>
          <t>Référence cadastrale *</t>
        </is>
      </c>
      <c r="B16" s="10" t="n"/>
      <c r="C16" s="11" t="inlineStr">
        <is>
          <t>Section + n° de parcelle, ex. : AB 123 (cadastre.gouv.fr)</t>
        </is>
      </c>
      <c r="D16" t="n">
        <v>1</v>
      </c>
    </row>
    <row r="17">
      <c r="A17" s="9" t="inlineStr">
        <is>
          <t>Statut du terrain *</t>
        </is>
      </c>
      <c r="B17" s="13" t="n"/>
      <c r="C17" s="11" t="inlineStr"/>
      <c r="D17" t="n">
        <v>1</v>
      </c>
    </row>
    <row r="18">
      <c r="A18" s="12" t="inlineStr">
        <is>
          <t>Surface du terrain (m²)</t>
        </is>
      </c>
      <c r="B18" s="14" t="n"/>
      <c r="C18" s="11" t="inlineStr"/>
    </row>
    <row r="19">
      <c r="A19" s="9" t="inlineStr">
        <is>
          <t>Pente du terrain *</t>
        </is>
      </c>
      <c r="B19" s="13" t="n"/>
      <c r="C19" s="11" t="inlineStr"/>
      <c r="D19" t="n">
        <v>1</v>
      </c>
    </row>
    <row r="20">
      <c r="A20" s="9" t="inlineStr">
        <is>
          <t>Terrain viabilisé (eau, électricité) *</t>
        </is>
      </c>
      <c r="B20" s="13" t="n"/>
      <c r="C20" s="11" t="inlineStr"/>
      <c r="D20" t="n">
        <v>1</v>
      </c>
    </row>
    <row r="21">
      <c r="A21" s="12" t="inlineStr">
        <is>
          <t>Assainissement</t>
        </is>
      </c>
      <c r="B21" s="13" t="n"/>
      <c r="C21" s="11" t="inlineStr"/>
    </row>
    <row r="22"/>
    <row r="23" ht="20" customHeight="1">
      <c r="A23" s="8" t="inlineStr">
        <is>
          <t>3. Avancement du projet</t>
        </is>
      </c>
    </row>
    <row r="24">
      <c r="A24" s="9" t="inlineStr">
        <is>
          <t>Niveau d'avancement *</t>
        </is>
      </c>
      <c r="B24" s="13" t="n"/>
      <c r="C24" s="11" t="inlineStr">
        <is>
          <t>PC = permis de construire</t>
        </is>
      </c>
      <c r="D24" t="n">
        <v>1</v>
      </c>
    </row>
    <row r="25">
      <c r="A25" s="12" t="inlineStr">
        <is>
          <t>N° du permis de construire</t>
        </is>
      </c>
      <c r="B25" s="10" t="n"/>
      <c r="C25" s="11" t="inlineStr">
        <is>
          <t>Si déposé ou obtenu, ex. : PC 044 109 25 X0012</t>
        </is>
      </c>
    </row>
    <row r="26">
      <c r="A26" s="12" t="inlineStr">
        <is>
          <t>Date de dépôt ou d'obtention du PC</t>
        </is>
      </c>
      <c r="B26" s="15" t="n"/>
      <c r="C26" s="11" t="inlineStr">
        <is>
          <t>Format jj/mm/aaaa</t>
        </is>
      </c>
    </row>
    <row r="27">
      <c r="A27" s="12" t="inlineStr">
        <is>
          <t>Architecte / maître d'œuvre (nom)</t>
        </is>
      </c>
      <c r="B27" s="10" t="n"/>
      <c r="C27" s="11" t="inlineStr">
        <is>
          <t>Laisser vide si aucun</t>
        </is>
      </c>
    </row>
    <row r="28">
      <c r="A28" s="9" t="inlineStr">
        <is>
          <t>Étude de sol G2 *</t>
        </is>
      </c>
      <c r="B28" s="13" t="n"/>
      <c r="C28" s="11" t="inlineStr">
        <is>
          <t>Obligatoire en zone argileuse (loi ELAN)</t>
        </is>
      </c>
      <c r="D28" t="n">
        <v>1</v>
      </c>
    </row>
    <row r="29">
      <c r="A29" s="9" t="inlineStr">
        <is>
          <t>Étude thermique RE2020 *</t>
        </is>
      </c>
      <c r="B29" s="13" t="n"/>
      <c r="C29" s="11" t="inlineStr"/>
      <c r="D29" t="n">
        <v>1</v>
      </c>
    </row>
    <row r="30"/>
    <row r="31" ht="20" customHeight="1">
      <c r="A31" s="8" t="inlineStr">
        <is>
          <t>4. Montage du kit</t>
        </is>
      </c>
    </row>
    <row r="32">
      <c r="A32" s="9" t="inlineStr">
        <is>
          <t>Qui montera le kit ? *</t>
        </is>
      </c>
      <c r="B32" s="13" t="n"/>
      <c r="C32" s="11" t="inlineStr"/>
      <c r="D32" t="n">
        <v>1</v>
      </c>
    </row>
    <row r="33">
      <c r="A33" s="12" t="inlineStr">
        <is>
          <t>Nom de l'artisan / entreprise de pose</t>
        </is>
      </c>
      <c r="B33" s="10" t="n"/>
      <c r="C33" s="11" t="inlineStr">
        <is>
          <t>Si déjà choisi</t>
        </is>
      </c>
    </row>
    <row r="34">
      <c r="A34" s="9" t="inlineStr">
        <is>
          <t>Expérience en construction du monteur *</t>
        </is>
      </c>
      <c r="B34" s="13" t="n"/>
      <c r="C34" s="11" t="inlineStr"/>
      <c r="D34" t="n">
        <v>1</v>
      </c>
    </row>
    <row r="35"/>
    <row r="36" ht="20" customHeight="1">
      <c r="A36" s="8" t="inlineStr">
        <is>
          <t>5. Financement</t>
        </is>
      </c>
    </row>
    <row r="37">
      <c r="A37" s="9" t="inlineStr">
        <is>
          <t>Budget global du projet TTC (€) *</t>
        </is>
      </c>
      <c r="B37" s="16" t="n"/>
      <c r="C37" s="11" t="inlineStr">
        <is>
          <t>Maison complète, hors terrain</t>
        </is>
      </c>
      <c r="D37" t="n">
        <v>1</v>
      </c>
    </row>
    <row r="38">
      <c r="A38" s="9" t="inlineStr">
        <is>
          <t>Mode de financement *</t>
        </is>
      </c>
      <c r="B38" s="13" t="n"/>
      <c r="C38" s="11" t="inlineStr"/>
      <c r="D38" t="n">
        <v>1</v>
      </c>
    </row>
    <row r="39">
      <c r="A39" s="12" t="inlineStr">
        <is>
          <t>Accord de principe bancaire</t>
        </is>
      </c>
      <c r="B39" s="13" t="n"/>
      <c r="C39" s="11" t="inlineStr">
        <is>
          <t>Si prêt bancaire ou mixte</t>
        </is>
      </c>
    </row>
    <row r="40">
      <c r="A40" s="9" t="inlineStr">
        <is>
          <t>Assurance dommages-ouvrage *</t>
        </is>
      </c>
      <c r="B40" s="13" t="n"/>
      <c r="C40" s="11" t="inlineStr"/>
      <c r="D40" t="n">
        <v>1</v>
      </c>
    </row>
    <row r="41"/>
    <row r="42" ht="20" customHeight="1">
      <c r="A42" s="8" t="inlineStr">
        <is>
          <t>6. Planning</t>
        </is>
      </c>
    </row>
    <row r="43">
      <c r="A43" s="9" t="inlineStr">
        <is>
          <t>Date souhaitée de début des fondations *</t>
        </is>
      </c>
      <c r="B43" s="15" t="n"/>
      <c r="C43" s="11" t="inlineStr">
        <is>
          <t>Format jj/mm/aaaa</t>
        </is>
      </c>
      <c r="D43" t="n">
        <v>1</v>
      </c>
    </row>
    <row r="44">
      <c r="A44" s="9" t="inlineStr">
        <is>
          <t>Date souhaitée de livraison du kit *</t>
        </is>
      </c>
      <c r="B44" s="15" t="n"/>
      <c r="C44" s="11" t="inlineStr">
        <is>
          <t>Format jj/mm/aaaa</t>
        </is>
      </c>
      <c r="D44" t="n">
        <v>1</v>
      </c>
    </row>
    <row r="45">
      <c r="A45" s="12" t="inlineStr">
        <is>
          <t>Autres devis demandés pour ce projet</t>
        </is>
      </c>
      <c r="B45" s="13" t="n"/>
      <c r="C45" s="11" t="inlineStr"/>
    </row>
    <row r="46">
      <c r="A46" s="12" t="inlineStr">
        <is>
          <t>Date prévue de votre décision</t>
        </is>
      </c>
      <c r="B46" s="15" t="n"/>
      <c r="C46" s="11" t="inlineStr">
        <is>
          <t>Format jj/mm/aaaa</t>
        </is>
      </c>
    </row>
    <row r="47"/>
    <row r="48" ht="20" customHeight="1">
      <c r="A48" s="8" t="inlineStr">
        <is>
          <t>7. Site et fondations</t>
        </is>
      </c>
    </row>
    <row r="49">
      <c r="A49" s="12" t="inlineStr">
        <is>
          <t>Altitude du terrain (m)</t>
        </is>
      </c>
      <c r="B49" s="14" t="n"/>
      <c r="C49" s="11" t="inlineStr">
        <is>
          <t>Visible sur geoportail.gouv.fr</t>
        </is>
      </c>
    </row>
    <row r="50">
      <c r="A50" s="12" t="inlineStr">
        <is>
          <t>Zone de neige</t>
        </is>
      </c>
      <c r="B50" s="13" t="n"/>
      <c r="C50" s="11" t="inlineStr">
        <is>
          <t>Nous la vérifierons d'après l'adresse</t>
        </is>
      </c>
    </row>
    <row r="51">
      <c r="A51" s="12" t="inlineStr">
        <is>
          <t>Zone de vent</t>
        </is>
      </c>
      <c r="B51" s="13" t="n"/>
      <c r="C51" s="11" t="inlineStr">
        <is>
          <t>Nous la vérifierons d'après l'adresse</t>
        </is>
      </c>
    </row>
    <row r="52">
      <c r="A52" s="12" t="inlineStr">
        <is>
          <t>Zone sismique</t>
        </is>
      </c>
      <c r="B52" s="13" t="n"/>
      <c r="C52" s="11" t="inlineStr">
        <is>
          <t>Nous la vérifierons d'après l'adresse</t>
        </is>
      </c>
    </row>
    <row r="53">
      <c r="A53" s="9" t="inlineStr">
        <is>
          <t>Type de fondations *</t>
        </is>
      </c>
      <c r="B53" s="13" t="n"/>
      <c r="C53" s="11" t="inlineStr"/>
      <c r="D53" t="n">
        <v>1</v>
      </c>
    </row>
    <row r="54">
      <c r="A54" s="9" t="inlineStr">
        <is>
          <t>Fondations déjà réalisées ? *</t>
        </is>
      </c>
      <c r="B54" s="13" t="n"/>
      <c r="C54" s="11" t="inlineStr"/>
      <c r="D54" t="n">
        <v>1</v>
      </c>
    </row>
    <row r="55"/>
    <row r="56" ht="20" customHeight="1">
      <c r="A56" s="8" t="inlineStr">
        <is>
          <t>8. Le bâtiment</t>
        </is>
      </c>
    </row>
    <row r="57">
      <c r="A57" s="9" t="inlineStr">
        <is>
          <t>Surface habitable (m²) *</t>
        </is>
      </c>
      <c r="B57" s="17" t="n"/>
      <c r="C57" s="11" t="inlineStr"/>
      <c r="D57" t="n">
        <v>1</v>
      </c>
    </row>
    <row r="58">
      <c r="A58" s="9" t="inlineStr">
        <is>
          <t>Emprise au sol (m²) *</t>
        </is>
      </c>
      <c r="B58" s="17" t="n"/>
      <c r="C58" s="11" t="inlineStr">
        <is>
          <t>Surface au sol couverte par la maison</t>
        </is>
      </c>
      <c r="D58" t="n">
        <v>1</v>
      </c>
    </row>
    <row r="59">
      <c r="A59" s="9" t="inlineStr">
        <is>
          <t>Niveaux *</t>
        </is>
      </c>
      <c r="B59" s="13" t="n"/>
      <c r="C59" s="11" t="inlineStr"/>
      <c r="D59" t="n">
        <v>1</v>
      </c>
    </row>
    <row r="60">
      <c r="A60" s="9" t="inlineStr">
        <is>
          <t>Hauteur sous plafond RDC (m) *</t>
        </is>
      </c>
      <c r="B60" s="18" t="n"/>
      <c r="C60" s="11" t="inlineStr">
        <is>
          <t>Ex. : 2,50</t>
        </is>
      </c>
      <c r="D60" t="n">
        <v>1</v>
      </c>
    </row>
    <row r="61">
      <c r="A61" s="12" t="inlineStr">
        <is>
          <t>Hauteur sous plafond étage (m)</t>
        </is>
      </c>
      <c r="B61" s="18" t="n"/>
      <c r="C61" s="11" t="inlineStr">
        <is>
          <t>Si R+1</t>
        </is>
      </c>
    </row>
    <row r="62">
      <c r="A62" s="9" t="inlineStr">
        <is>
          <t>Forme de toiture *</t>
        </is>
      </c>
      <c r="B62" s="13" t="n"/>
      <c r="C62" s="11" t="inlineStr"/>
      <c r="D62" t="n">
        <v>1</v>
      </c>
    </row>
    <row r="63">
      <c r="A63" s="9" t="inlineStr">
        <is>
          <t>Pente de toiture (°) *</t>
        </is>
      </c>
      <c r="B63" s="19" t="n"/>
      <c r="C63" s="11" t="inlineStr">
        <is>
          <t>Ex. : 35</t>
        </is>
      </c>
      <c r="D63" t="n">
        <v>1</v>
      </c>
    </row>
    <row r="64">
      <c r="A64" s="12" t="inlineStr">
        <is>
          <t>Débords de toiture (cm)</t>
        </is>
      </c>
      <c r="B64" s="19" t="n"/>
      <c r="C64" s="11" t="inlineStr">
        <is>
          <t>Ex. : 50</t>
        </is>
      </c>
    </row>
    <row r="65">
      <c r="A65" s="9" t="inlineStr">
        <is>
          <t>Type de couverture *</t>
        </is>
      </c>
      <c r="B65" s="13" t="n"/>
      <c r="C65" s="11" t="inlineStr">
        <is>
          <t>Le poids de la couverture conditionne la charpente</t>
        </is>
      </c>
      <c r="D65" t="n">
        <v>1</v>
      </c>
    </row>
    <row r="66">
      <c r="A66" s="12" t="inlineStr">
        <is>
          <t>Charges particulières</t>
        </is>
      </c>
      <c r="B66" s="10" t="n"/>
      <c r="C66" s="11" t="inlineStr">
        <is>
          <t>Panneaux solaires, mezzanine, terrasse sur structure, baignoire balnéo…</t>
        </is>
      </c>
    </row>
    <row r="67">
      <c r="A67" s="12" t="inlineStr">
        <is>
          <t>Garage ou annexe accolé(e) à chiffrer</t>
        </is>
      </c>
      <c r="B67" s="13" t="n"/>
      <c r="C67" s="11" t="inlineStr"/>
    </row>
    <row r="68"/>
    <row r="69" ht="20" customHeight="1">
      <c r="A69" s="8" t="inlineStr">
        <is>
          <t>9. Contenu du kit souhaité (Oui / Non)</t>
        </is>
      </c>
    </row>
    <row r="70">
      <c r="A70" s="9" t="inlineStr">
        <is>
          <t>Structure des murs *</t>
        </is>
      </c>
      <c r="B70" s="13" t="n"/>
      <c r="C70" s="11" t="inlineStr"/>
      <c r="D70" t="n">
        <v>1</v>
      </c>
    </row>
    <row r="71">
      <c r="A71" s="9" t="inlineStr">
        <is>
          <t>Planchers *</t>
        </is>
      </c>
      <c r="B71" s="13" t="n"/>
      <c r="C71" s="11" t="inlineStr"/>
      <c r="D71" t="n">
        <v>1</v>
      </c>
    </row>
    <row r="72">
      <c r="A72" s="9" t="inlineStr">
        <is>
          <t>Charpente *</t>
        </is>
      </c>
      <c r="B72" s="13" t="n"/>
      <c r="C72" s="11" t="inlineStr"/>
      <c r="D72" t="n">
        <v>1</v>
      </c>
    </row>
    <row r="73">
      <c r="A73" s="9" t="inlineStr">
        <is>
          <t>Isolation *</t>
        </is>
      </c>
      <c r="B73" s="13" t="n"/>
      <c r="C73" s="11" t="inlineStr"/>
      <c r="D73" t="n">
        <v>1</v>
      </c>
    </row>
    <row r="74">
      <c r="A74" s="9" t="inlineStr">
        <is>
          <t>Pare-pluie / frein-vapeur *</t>
        </is>
      </c>
      <c r="B74" s="13" t="n"/>
      <c r="C74" s="11" t="inlineStr"/>
      <c r="D74" t="n">
        <v>1</v>
      </c>
    </row>
    <row r="75">
      <c r="A75" s="9" t="inlineStr">
        <is>
          <t>Bardage *</t>
        </is>
      </c>
      <c r="B75" s="13" t="n"/>
      <c r="C75" s="11" t="inlineStr"/>
      <c r="D75" t="n">
        <v>1</v>
      </c>
    </row>
    <row r="76">
      <c r="A76" s="9" t="inlineStr">
        <is>
          <t>Menuiseries *</t>
        </is>
      </c>
      <c r="B76" s="13" t="n"/>
      <c r="C76" s="11" t="inlineStr"/>
      <c r="D76" t="n">
        <v>1</v>
      </c>
    </row>
    <row r="77">
      <c r="A77" s="9" t="inlineStr">
        <is>
          <t>Assistance au montage sur chantier *</t>
        </is>
      </c>
      <c r="B77" s="13" t="n"/>
      <c r="C77" s="11" t="inlineStr"/>
      <c r="D77" t="n">
        <v>1</v>
      </c>
    </row>
    <row r="78"/>
    <row r="79" ht="20" customHeight="1">
      <c r="A79" s="8" t="inlineStr">
        <is>
          <t>10. Livraison</t>
        </is>
      </c>
    </row>
    <row r="80">
      <c r="A80" s="9" t="inlineStr">
        <is>
          <t>Accès possible pour un semi-remorque *</t>
        </is>
      </c>
      <c r="B80" s="13" t="n"/>
      <c r="C80" s="11" t="inlineStr">
        <is>
          <t>Longueur ≈ 16,5 m</t>
        </is>
      </c>
      <c r="D80" t="n">
        <v>1</v>
      </c>
    </row>
    <row r="81">
      <c r="A81" s="12" t="inlineStr">
        <is>
          <t>Largeur minimale du chemin d'accès (m)</t>
        </is>
      </c>
      <c r="B81" s="20" t="n"/>
      <c r="C81" s="11" t="inlineStr"/>
    </row>
    <row r="82">
      <c r="A82" s="9" t="inlineStr">
        <is>
          <t>Zone de stockage plane sur le terrain *</t>
        </is>
      </c>
      <c r="B82" s="13" t="n"/>
      <c r="C82" s="11" t="inlineStr"/>
      <c r="D82" t="n">
        <v>1</v>
      </c>
    </row>
    <row r="83">
      <c r="A83" s="9" t="inlineStr">
        <is>
          <t>Moyen de déchargement *</t>
        </is>
      </c>
      <c r="B83" s="13" t="n"/>
      <c r="C83" s="11" t="inlineStr"/>
      <c r="D83" t="n">
        <v>1</v>
      </c>
    </row>
    <row r="84">
      <c r="A84" s="12" t="inlineStr">
        <is>
          <t>Distance route → emplacement de la maison (m)</t>
        </is>
      </c>
      <c r="B84" s="19" t="n"/>
      <c r="C84" s="11" t="inlineStr"/>
    </row>
    <row r="85"/>
    <row r="86" ht="20" customHeight="1">
      <c r="A86" s="8" t="inlineStr">
        <is>
          <t>11. Pièces à joindre</t>
        </is>
      </c>
    </row>
    <row r="87">
      <c r="A87" s="9" t="inlineStr">
        <is>
          <t>Plans des niveaux cotés *</t>
        </is>
      </c>
      <c r="B87" s="13" t="n"/>
      <c r="C87" s="11" t="inlineStr"/>
      <c r="D87" t="n">
        <v>1</v>
      </c>
    </row>
    <row r="88">
      <c r="A88" s="9" t="inlineStr">
        <is>
          <t>Plans des façades *</t>
        </is>
      </c>
      <c r="B88" s="13" t="n"/>
      <c r="C88" s="11" t="inlineStr"/>
      <c r="D88" t="n">
        <v>1</v>
      </c>
    </row>
    <row r="89">
      <c r="A89" s="12" t="inlineStr">
        <is>
          <t>Plan de masse</t>
        </is>
      </c>
      <c r="B89" s="13" t="n"/>
      <c r="C89" s="11" t="inlineStr"/>
    </row>
    <row r="90">
      <c r="A90" s="12" t="inlineStr">
        <is>
          <t>Photos du terrain</t>
        </is>
      </c>
      <c r="B90" s="13" t="n"/>
      <c r="C90" s="11" t="inlineStr"/>
    </row>
    <row r="91">
      <c r="A91" s="12" t="inlineStr">
        <is>
          <t>Photos de l'accès au terrain</t>
        </is>
      </c>
      <c r="B91" s="13" t="n"/>
      <c r="C91" s="11" t="inlineStr"/>
    </row>
    <row r="92">
      <c r="A92" s="12" t="inlineStr">
        <is>
          <t>Permis de construire ou récépissé de dépôt</t>
        </is>
      </c>
      <c r="B92" s="13" t="n"/>
      <c r="C92" s="11" t="inlineStr"/>
    </row>
    <row r="93">
      <c r="A93" s="12" t="inlineStr">
        <is>
          <t>Étude de sol</t>
        </is>
      </c>
      <c r="B93" s="13" t="n"/>
      <c r="C93" s="11" t="inlineStr"/>
    </row>
    <row r="94"/>
    <row r="95" ht="20" customHeight="1">
      <c r="A95" s="8" t="inlineStr">
        <is>
          <t>12. Commentaires</t>
        </is>
      </c>
    </row>
    <row r="96" ht="80" customHeight="1">
      <c r="A96" s="12" t="inlineStr">
        <is>
          <t>Précisions sur votre projet</t>
        </is>
      </c>
      <c r="B96" s="21" t="n"/>
      <c r="C96" s="11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4">
    <mergeCell ref="A42:C42"/>
    <mergeCell ref="A13:C13"/>
    <mergeCell ref="A36:C36"/>
    <mergeCell ref="A1:C1"/>
    <mergeCell ref="A23:C23"/>
    <mergeCell ref="A79:C79"/>
    <mergeCell ref="A31:C31"/>
    <mergeCell ref="A6:C6"/>
    <mergeCell ref="A56:C56"/>
    <mergeCell ref="A69:C69"/>
    <mergeCell ref="A48:C48"/>
    <mergeCell ref="A95:C95"/>
    <mergeCell ref="A2:C2"/>
    <mergeCell ref="A86:C86"/>
  </mergeCells>
  <conditionalFormatting sqref="B7:B98">
    <cfRule type="expression" priority="1" dxfId="0">
      <formula>AND($D7=1,$B7="")</formula>
    </cfRule>
  </conditionalFormatting>
  <dataValidations count="24">
    <dataValidation sqref="B17" showDropDown="0" showInputMessage="0" showErrorMessage="1" allowBlank="1" errorTitle="Valeur non prévue" error="Merci de choisir une valeur dans la liste." type="list">
      <formula1>"Acquis,Sous compromis,En recherche"</formula1>
    </dataValidation>
    <dataValidation sqref="B19" showDropDown="0" showInputMessage="0" showErrorMessage="1" allowBlank="1" errorTitle="Valeur non prévue" error="Merci de choisir une valeur dans la liste." type="list">
      <formula1>"Plat,Légère pente,Forte pente"</formula1>
    </dataValidation>
    <dataValidation sqref="B20 B39 B54" showDropDown="0" showInputMessage="0" showErrorMessage="1" allowBlank="1" errorTitle="Valeur non prévue" error="Merci de choisir une valeur dans la liste." type="list">
      <formula1>"Oui,En cours,Non"</formula1>
    </dataValidation>
    <dataValidation sqref="B21" showDropDown="0" showInputMessage="0" showErrorMessage="1" allowBlank="1" errorTitle="Valeur non prévue" error="Merci de choisir une valeur dans la liste." type="list">
      <formula1>"Tout-à-l'égout,Assainissement individuel,Ne sais pas"</formula1>
    </dataValidation>
    <dataValidation sqref="B24" showDropDown="0" showInputMessage="0" showErrorMessage="1" allowBlank="1" errorTitle="Valeur non prévue" error="Merci de choisir une valeur dans la liste." type="list">
      <formula1>"Idée,Terrain trouvé,Terrain acquis,PC en préparation,PC déposé,PC obtenu"</formula1>
    </dataValidation>
    <dataValidation sqref="B28 B29" showDropDown="0" showInputMessage="0" showErrorMessage="1" allowBlank="1" errorTitle="Valeur non prévue" error="Merci de choisir une valeur dans la liste." type="list">
      <formula1>"Réalisée,Commandée,Non"</formula1>
    </dataValidation>
    <dataValidation sqref="B32" showDropDown="0" showInputMessage="0" showErrorMessage="1" allowBlank="1" errorTitle="Valeur non prévue" error="Merci de choisir une valeur dans la liste." type="list">
      <formula1>"Auto-construction,Artisan choisi,Recherche d'un poseur,À définir"</formula1>
    </dataValidation>
    <dataValidation sqref="B34" showDropDown="0" showInputMessage="0" showErrorMessage="1" allowBlank="1" errorTitle="Valeur non prévue" error="Merci de choisir une valeur dans la liste." type="list">
      <formula1>"Aucune,Bricolage / rénovation,Déjà construit,Professionnel du bâtiment"</formula1>
    </dataValidation>
    <dataValidation sqref="B38" showDropDown="0" showInputMessage="0" showErrorMessage="1" allowBlank="1" errorTitle="Valeur non prévue" error="Merci de choisir une valeur dans la liste." type="list">
      <formula1>"Prêt bancaire,Fonds propres,Mixte"</formula1>
    </dataValidation>
    <dataValidation sqref="B40" showDropDown="0" showInputMessage="0" showErrorMessage="1" allowBlank="1" errorTitle="Valeur non prévue" error="Merci de choisir une valeur dans la liste." type="list">
      <formula1>"Oui,En cours,Non,Ne sais pas"</formula1>
    </dataValidation>
    <dataValidation sqref="B45" showDropDown="0" showInputMessage="0" showErrorMessage="1" allowBlank="1" errorTitle="Valeur non prévue" error="Merci de choisir une valeur dans la liste." type="list">
      <formula1>"Aucun,1,2,3 ou plus"</formula1>
    </dataValidation>
    <dataValidation sqref="B50" showDropDown="0" showInputMessage="0" showErrorMessage="1" allowBlank="1" errorTitle="Valeur non prévue" error="Merci de choisir une valeur dans la liste." type="list">
      <formula1>"A1,A2,B1,B2,C1,C2,D,E,Ne sais pas"</formula1>
    </dataValidation>
    <dataValidation sqref="B51" showDropDown="0" showInputMessage="0" showErrorMessage="1" allowBlank="1" errorTitle="Valeur non prévue" error="Merci de choisir une valeur dans la liste." type="list">
      <formula1>"1,2,3,4,5,Ne sais pas"</formula1>
    </dataValidation>
    <dataValidation sqref="B52" showDropDown="0" showInputMessage="0" showErrorMessage="1" allowBlank="1" errorTitle="Valeur non prévue" error="Merci de choisir une valeur dans la liste." type="list">
      <formula1>"1,2,3,4,5,Ne sais pas"</formula1>
    </dataValidation>
    <dataValidation sqref="B53" showDropDown="0" showInputMessage="0" showErrorMessage="1" allowBlank="1" errorTitle="Valeur non prévue" error="Merci de choisir une valeur dans la liste." type="list">
      <formula1>"Dalle sur terre-plein,Vide sanitaire,Plots / pieux,Sous-sol,À définir"</formula1>
    </dataValidation>
    <dataValidation sqref="B59" showDropDown="0" showInputMessage="0" showErrorMessage="1" allowBlank="1" errorTitle="Valeur non prévue" error="Merci de choisir une valeur dans la liste." type="list">
      <formula1>"Plain-pied,Plain-pied + combles aménagés,R+1,R+1 + combles aménagés"</formula1>
    </dataValidation>
    <dataValidation sqref="B62" showDropDown="0" showInputMessage="0" showErrorMessage="1" allowBlank="1" errorTitle="Valeur non prévue" error="Merci de choisir une valeur dans la liste." type="list">
      <formula1>"2 pans,4 pans,Monopente,Toit plat,Autre"</formula1>
    </dataValidation>
    <dataValidation sqref="B65" showDropDown="0" showInputMessage="0" showErrorMessage="1" allowBlank="1" errorTitle="Valeur non prévue" error="Merci de choisir une valeur dans la liste." type="list">
      <formula1>"Tuile terre cuite,Tuile béton,Ardoise,Bac acier,Membrane (toit plat),Végétalisée,Autre"</formula1>
    </dataValidation>
    <dataValidation sqref="B67 B70 B71 B72 B73 B74 B75 B76 B77 B82" showDropDown="0" showInputMessage="0" showErrorMessage="1" allowBlank="1" errorTitle="Valeur non prévue" error="Merci de choisir une valeur dans la liste." type="list">
      <formula1>"Oui,Non"</formula1>
    </dataValidation>
    <dataValidation sqref="B80" showDropDown="0" showInputMessage="0" showErrorMessage="1" allowBlank="1" errorTitle="Valeur non prévue" error="Merci de choisir une valeur dans la liste." type="list">
      <formula1>"Oui,Non,Ne sais pas"</formula1>
    </dataValidation>
    <dataValidation sqref="B83" showDropDown="0" showInputMessage="0" showErrorMessage="1" allowBlank="1" errorTitle="Valeur non prévue" error="Merci de choisir une valeur dans la liste." type="list">
      <formula1>"Chariot élévateur,Grue,Manuel,À prévoir"</formula1>
    </dataValidation>
    <dataValidation sqref="B87 B88 B89 B90 B91 B92 B93" showDropDown="0" showInputMessage="0" showErrorMessage="1" allowBlank="1" errorTitle="Valeur non prévue" error="Merci de choisir une valeur dans la liste." type="list">
      <formula1>"Joint,Non disponible"</formula1>
    </dataValidation>
    <dataValidation sqref="B26 B43 B44 B46" showDropDown="0" showInputMessage="0" showErrorMessage="1" allowBlank="1" error="Merci de saisir une date au format jj/mm/aaaa." type="date" operator="greaterThan">
      <formula1>36526</formula1>
    </dataValidation>
    <dataValidation sqref="B18 B37 B49 B57 B58 B60 B61 B63 B64 B81 B84" showDropDown="0" showInputMessage="0" showErrorMessage="1" allowBlank="1" error="Merci de saisir un nombre (sans unité)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67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6" customWidth="1" min="4" max="4"/>
    <col width="20" customWidth="1" min="5" max="5"/>
    <col width="10" customWidth="1" min="6" max="6"/>
    <col width="10" customWidth="1" min="7" max="7"/>
    <col width="13" customWidth="1" min="8" max="8"/>
    <col width="17" customWidth="1" min="9" max="9"/>
    <col width="19" customWidth="1" min="10" max="10"/>
    <col width="18" customWidth="1" min="11" max="11"/>
    <col width="10" customWidth="1" min="12" max="12"/>
    <col width="12" customWidth="1" min="13" max="13"/>
    <col width="12" customWidth="1" min="14" max="14"/>
    <col width="34" customWidth="1" min="15" max="15"/>
  </cols>
  <sheetData>
    <row r="1" ht="28" customHeight="1">
      <c r="A1" s="22" t="inlineStr">
        <is>
          <t>Tableau des ouvertures (réservations à prévoir dans le kit)</t>
        </is>
      </c>
    </row>
    <row r="2" ht="30" customHeight="1">
      <c r="A2" s="23" t="inlineStr">
        <is>
          <t>Une ligne par ouverture (ou par groupe d'ouvertures identiques sur la même façade). Cotes en millimètres. La ligne grisée est un exemple et n'est pas prise en compte. La colonne « Contrôle » signale les incohérences.</t>
        </is>
      </c>
    </row>
    <row r="3"/>
    <row r="4" ht="42" customHeight="1">
      <c r="A4" s="24" t="inlineStr">
        <is>
          <t>Repère</t>
        </is>
      </c>
      <c r="B4" s="24" t="inlineStr">
        <is>
          <t>Niveau</t>
        </is>
      </c>
      <c r="C4" s="24" t="inlineStr">
        <is>
          <t>Façade</t>
        </is>
      </c>
      <c r="D4" s="24" t="inlineStr">
        <is>
          <t>Pièce</t>
        </is>
      </c>
      <c r="E4" s="24" t="inlineStr">
        <is>
          <t>Type d'ouverture</t>
        </is>
      </c>
      <c r="F4" s="24" t="inlineStr">
        <is>
          <t>Largeur
(mm)</t>
        </is>
      </c>
      <c r="G4" s="24" t="inlineStr">
        <is>
          <t>Hauteur
(mm)</t>
        </is>
      </c>
      <c r="H4" s="24" t="inlineStr">
        <is>
          <t>Hauteur d'allège
(mm)</t>
        </is>
      </c>
      <c r="I4" s="24" t="inlineStr">
        <is>
          <t>Distance depuis
l'angle gauche (mm)</t>
        </is>
      </c>
      <c r="J4" s="24" t="inlineStr">
        <is>
          <t>Cotes données en</t>
        </is>
      </c>
      <c r="K4" s="24" t="inlineStr">
        <is>
          <t>Volet</t>
        </is>
      </c>
      <c r="L4" s="24" t="inlineStr">
        <is>
          <t>Quantité</t>
        </is>
      </c>
      <c r="M4" s="24" t="inlineStr">
        <is>
          <t>Surface
unitaire (m²)</t>
        </is>
      </c>
      <c r="N4" s="24" t="inlineStr">
        <is>
          <t>Surface
totale (m²)</t>
        </is>
      </c>
      <c r="O4" s="24" t="inlineStr">
        <is>
          <t>Contrôle</t>
        </is>
      </c>
    </row>
    <row r="5">
      <c r="A5" s="25" t="inlineStr">
        <is>
          <t>F1</t>
        </is>
      </c>
      <c r="B5" s="25" t="inlineStr">
        <is>
          <t>RDC</t>
        </is>
      </c>
      <c r="C5" s="25" t="inlineStr">
        <is>
          <t>Sud</t>
        </is>
      </c>
      <c r="D5" s="25" t="inlineStr">
        <is>
          <t>Séjour</t>
        </is>
      </c>
      <c r="E5" s="25" t="inlineStr">
        <is>
          <t>Baie coulissante</t>
        </is>
      </c>
      <c r="F5" s="26" t="n">
        <v>2400</v>
      </c>
      <c r="G5" s="26" t="n">
        <v>2150</v>
      </c>
      <c r="H5" s="26" t="n">
        <v>0</v>
      </c>
      <c r="I5" s="26" t="n">
        <v>1200</v>
      </c>
      <c r="J5" s="25" t="inlineStr">
        <is>
          <t>Tableau (trou fini)</t>
        </is>
      </c>
      <c r="K5" s="25" t="inlineStr">
        <is>
          <t>Roulant motorisé</t>
        </is>
      </c>
      <c r="L5" s="25" t="n">
        <v>1</v>
      </c>
      <c r="M5" s="27">
        <f>IF(AND(ISNUMBER(F5),ISNUMBER(G5)),F5*G5/1000000,"")</f>
        <v/>
      </c>
      <c r="N5" s="27">
        <f>IF(M5="","",M5*IF(ISNUMBER(L5),L5,1))</f>
        <v/>
      </c>
      <c r="O5" s="28">
        <f>IF(COUNTA(A5:L5)=0,"",IF(OR(NOT(ISNUMBER(F5)),NOT(ISNUMBER(G5))),"⚠ Largeur ou hauteur manquante",IF(C5="","⚠ Façade manquante",IF(AND(OR(E5="Fenêtre",E5="Châssis fixe"),NOT(ISNUMBER(H5))),"⚠ Hauteur d'allège manquante",IF(AND(E5&lt;&gt;"Fenêtre de toit",IF($B5="R+1",N(Projet!$B$61),N(Projet!$B$60))&gt;0,N(H5)+G5&gt;IF($B5="R+1",N(Projet!$B$61),N(Projet!$B$60))*1000),"⚠ Dépasse la hauteur sous plafond",IF(J5="","⚠ Préciser tableau / hors tout","OK"))))))</f>
        <v/>
      </c>
      <c r="P5" s="29" t="inlineStr">
        <is>
          <t>← exemple</t>
        </is>
      </c>
    </row>
    <row r="6">
      <c r="A6" s="30" t="n"/>
      <c r="B6" s="30" t="n"/>
      <c r="C6" s="30" t="n"/>
      <c r="D6" s="30" t="n"/>
      <c r="E6" s="30" t="n"/>
      <c r="F6" s="31" t="n"/>
      <c r="G6" s="31" t="n"/>
      <c r="H6" s="31" t="n"/>
      <c r="I6" s="31" t="n"/>
      <c r="J6" s="30" t="n"/>
      <c r="K6" s="30" t="n"/>
      <c r="L6" s="30" t="n"/>
      <c r="M6" s="27">
        <f>IF(AND(ISNUMBER(F6),ISNUMBER(G6)),F6*G6/1000000,"")</f>
        <v/>
      </c>
      <c r="N6" s="27">
        <f>IF(M6="","",M6*IF(ISNUMBER(L6),L6,1))</f>
        <v/>
      </c>
      <c r="O6" s="32">
        <f>IF(COUNTA(A6:L6)=0,"",IF(OR(NOT(ISNUMBER(F6)),NOT(ISNUMBER(G6))),"⚠ Largeur ou hauteur manquante",IF(C6="","⚠ Façade manquante",IF(AND(OR(E6="Fenêtre",E6="Châssis fixe"),NOT(ISNUMBER(H6))),"⚠ Hauteur d'allège manquante",IF(AND(E6&lt;&gt;"Fenêtre de toit",IF($B6="R+1",N(Projet!$B$61),N(Projet!$B$60))&gt;0,N(H6)+G6&gt;IF($B6="R+1",N(Projet!$B$61),N(Projet!$B$60))*1000),"⚠ Dépasse la hauteur sous plafond",IF(J6="","⚠ Préciser tableau / hors tout","OK"))))))</f>
        <v/>
      </c>
    </row>
    <row r="7">
      <c r="A7" s="30" t="n"/>
      <c r="B7" s="30" t="n"/>
      <c r="C7" s="30" t="n"/>
      <c r="D7" s="30" t="n"/>
      <c r="E7" s="30" t="n"/>
      <c r="F7" s="31" t="n"/>
      <c r="G7" s="31" t="n"/>
      <c r="H7" s="31" t="n"/>
      <c r="I7" s="31" t="n"/>
      <c r="J7" s="30" t="n"/>
      <c r="K7" s="30" t="n"/>
      <c r="L7" s="30" t="n"/>
      <c r="M7" s="27">
        <f>IF(AND(ISNUMBER(F7),ISNUMBER(G7)),F7*G7/1000000,"")</f>
        <v/>
      </c>
      <c r="N7" s="27">
        <f>IF(M7="","",M7*IF(ISNUMBER(L7),L7,1))</f>
        <v/>
      </c>
      <c r="O7" s="32">
        <f>IF(COUNTA(A7:L7)=0,"",IF(OR(NOT(ISNUMBER(F7)),NOT(ISNUMBER(G7))),"⚠ Largeur ou hauteur manquante",IF(C7="","⚠ Façade manquante",IF(AND(OR(E7="Fenêtre",E7="Châssis fixe"),NOT(ISNUMBER(H7))),"⚠ Hauteur d'allège manquante",IF(AND(E7&lt;&gt;"Fenêtre de toit",IF($B7="R+1",N(Projet!$B$61),N(Projet!$B$60))&gt;0,N(H7)+G7&gt;IF($B7="R+1",N(Projet!$B$61),N(Projet!$B$60))*1000),"⚠ Dépasse la hauteur sous plafond",IF(J7="","⚠ Préciser tableau / hors tout","OK"))))))</f>
        <v/>
      </c>
    </row>
    <row r="8">
      <c r="A8" s="30" t="n"/>
      <c r="B8" s="30" t="n"/>
      <c r="C8" s="30" t="n"/>
      <c r="D8" s="30" t="n"/>
      <c r="E8" s="30" t="n"/>
      <c r="F8" s="31" t="n"/>
      <c r="G8" s="31" t="n"/>
      <c r="H8" s="31" t="n"/>
      <c r="I8" s="31" t="n"/>
      <c r="J8" s="30" t="n"/>
      <c r="K8" s="30" t="n"/>
      <c r="L8" s="30" t="n"/>
      <c r="M8" s="27">
        <f>IF(AND(ISNUMBER(F8),ISNUMBER(G8)),F8*G8/1000000,"")</f>
        <v/>
      </c>
      <c r="N8" s="27">
        <f>IF(M8="","",M8*IF(ISNUMBER(L8),L8,1))</f>
        <v/>
      </c>
      <c r="O8" s="32">
        <f>IF(COUNTA(A8:L8)=0,"",IF(OR(NOT(ISNUMBER(F8)),NOT(ISNUMBER(G8))),"⚠ Largeur ou hauteur manquante",IF(C8="","⚠ Façade manquante",IF(AND(OR(E8="Fenêtre",E8="Châssis fixe"),NOT(ISNUMBER(H8))),"⚠ Hauteur d'allège manquante",IF(AND(E8&lt;&gt;"Fenêtre de toit",IF($B8="R+1",N(Projet!$B$61),N(Projet!$B$60))&gt;0,N(H8)+G8&gt;IF($B8="R+1",N(Projet!$B$61),N(Projet!$B$60))*1000),"⚠ Dépasse la hauteur sous plafond",IF(J8="","⚠ Préciser tableau / hors tout","OK"))))))</f>
        <v/>
      </c>
    </row>
    <row r="9">
      <c r="A9" s="30" t="n"/>
      <c r="B9" s="30" t="n"/>
      <c r="C9" s="30" t="n"/>
      <c r="D9" s="30" t="n"/>
      <c r="E9" s="30" t="n"/>
      <c r="F9" s="31" t="n"/>
      <c r="G9" s="31" t="n"/>
      <c r="H9" s="31" t="n"/>
      <c r="I9" s="31" t="n"/>
      <c r="J9" s="30" t="n"/>
      <c r="K9" s="30" t="n"/>
      <c r="L9" s="30" t="n"/>
      <c r="M9" s="27">
        <f>IF(AND(ISNUMBER(F9),ISNUMBER(G9)),F9*G9/1000000,"")</f>
        <v/>
      </c>
      <c r="N9" s="27">
        <f>IF(M9="","",M9*IF(ISNUMBER(L9),L9,1))</f>
        <v/>
      </c>
      <c r="O9" s="32">
        <f>IF(COUNTA(A9:L9)=0,"",IF(OR(NOT(ISNUMBER(F9)),NOT(ISNUMBER(G9))),"⚠ Largeur ou hauteur manquante",IF(C9="","⚠ Façade manquante",IF(AND(OR(E9="Fenêtre",E9="Châssis fixe"),NOT(ISNUMBER(H9))),"⚠ Hauteur d'allège manquante",IF(AND(E9&lt;&gt;"Fenêtre de toit",IF($B9="R+1",N(Projet!$B$61),N(Projet!$B$60))&gt;0,N(H9)+G9&gt;IF($B9="R+1",N(Projet!$B$61),N(Projet!$B$60))*1000),"⚠ Dépasse la hauteur sous plafond",IF(J9="","⚠ Préciser tableau / hors tout","OK"))))))</f>
        <v/>
      </c>
    </row>
    <row r="10">
      <c r="A10" s="30" t="n"/>
      <c r="B10" s="30" t="n"/>
      <c r="C10" s="30" t="n"/>
      <c r="D10" s="30" t="n"/>
      <c r="E10" s="30" t="n"/>
      <c r="F10" s="31" t="n"/>
      <c r="G10" s="31" t="n"/>
      <c r="H10" s="31" t="n"/>
      <c r="I10" s="31" t="n"/>
      <c r="J10" s="30" t="n"/>
      <c r="K10" s="30" t="n"/>
      <c r="L10" s="30" t="n"/>
      <c r="M10" s="27">
        <f>IF(AND(ISNUMBER(F10),ISNUMBER(G10)),F10*G10/1000000,"")</f>
        <v/>
      </c>
      <c r="N10" s="27">
        <f>IF(M10="","",M10*IF(ISNUMBER(L10),L10,1))</f>
        <v/>
      </c>
      <c r="O10" s="32">
        <f>IF(COUNTA(A10:L10)=0,"",IF(OR(NOT(ISNUMBER(F10)),NOT(ISNUMBER(G10))),"⚠ Largeur ou hauteur manquante",IF(C10="","⚠ Façade manquante",IF(AND(OR(E10="Fenêtre",E10="Châssis fixe"),NOT(ISNUMBER(H10))),"⚠ Hauteur d'allège manquante",IF(AND(E10&lt;&gt;"Fenêtre de toit",IF($B10="R+1",N(Projet!$B$61),N(Projet!$B$60))&gt;0,N(H10)+G10&gt;IF($B10="R+1",N(Projet!$B$61),N(Projet!$B$60))*1000),"⚠ Dépasse la hauteur sous plafond",IF(J10="","⚠ Préciser tableau / hors tout","OK"))))))</f>
        <v/>
      </c>
    </row>
    <row r="11">
      <c r="A11" s="30" t="n"/>
      <c r="B11" s="30" t="n"/>
      <c r="C11" s="30" t="n"/>
      <c r="D11" s="30" t="n"/>
      <c r="E11" s="30" t="n"/>
      <c r="F11" s="31" t="n"/>
      <c r="G11" s="31" t="n"/>
      <c r="H11" s="31" t="n"/>
      <c r="I11" s="31" t="n"/>
      <c r="J11" s="30" t="n"/>
      <c r="K11" s="30" t="n"/>
      <c r="L11" s="30" t="n"/>
      <c r="M11" s="27">
        <f>IF(AND(ISNUMBER(F11),ISNUMBER(G11)),F11*G11/1000000,"")</f>
        <v/>
      </c>
      <c r="N11" s="27">
        <f>IF(M11="","",M11*IF(ISNUMBER(L11),L11,1))</f>
        <v/>
      </c>
      <c r="O11" s="32">
        <f>IF(COUNTA(A11:L11)=0,"",IF(OR(NOT(ISNUMBER(F11)),NOT(ISNUMBER(G11))),"⚠ Largeur ou hauteur manquante",IF(C11="","⚠ Façade manquante",IF(AND(OR(E11="Fenêtre",E11="Châssis fixe"),NOT(ISNUMBER(H11))),"⚠ Hauteur d'allège manquante",IF(AND(E11&lt;&gt;"Fenêtre de toit",IF($B11="R+1",N(Projet!$B$61),N(Projet!$B$60))&gt;0,N(H11)+G11&gt;IF($B11="R+1",N(Projet!$B$61),N(Projet!$B$60))*1000),"⚠ Dépasse la hauteur sous plafond",IF(J11="","⚠ Préciser tableau / hors tout","OK"))))))</f>
        <v/>
      </c>
    </row>
    <row r="12">
      <c r="A12" s="30" t="n"/>
      <c r="B12" s="30" t="n"/>
      <c r="C12" s="30" t="n"/>
      <c r="D12" s="30" t="n"/>
      <c r="E12" s="30" t="n"/>
      <c r="F12" s="31" t="n"/>
      <c r="G12" s="31" t="n"/>
      <c r="H12" s="31" t="n"/>
      <c r="I12" s="31" t="n"/>
      <c r="J12" s="30" t="n"/>
      <c r="K12" s="30" t="n"/>
      <c r="L12" s="30" t="n"/>
      <c r="M12" s="27">
        <f>IF(AND(ISNUMBER(F12),ISNUMBER(G12)),F12*G12/1000000,"")</f>
        <v/>
      </c>
      <c r="N12" s="27">
        <f>IF(M12="","",M12*IF(ISNUMBER(L12),L12,1))</f>
        <v/>
      </c>
      <c r="O12" s="32">
        <f>IF(COUNTA(A12:L12)=0,"",IF(OR(NOT(ISNUMBER(F12)),NOT(ISNUMBER(G12))),"⚠ Largeur ou hauteur manquante",IF(C12="","⚠ Façade manquante",IF(AND(OR(E12="Fenêtre",E12="Châssis fixe"),NOT(ISNUMBER(H12))),"⚠ Hauteur d'allège manquante",IF(AND(E12&lt;&gt;"Fenêtre de toit",IF($B12="R+1",N(Projet!$B$61),N(Projet!$B$60))&gt;0,N(H12)+G12&gt;IF($B12="R+1",N(Projet!$B$61),N(Projet!$B$60))*1000),"⚠ Dépasse la hauteur sous plafond",IF(J12="","⚠ Préciser tableau / hors tout","OK"))))))</f>
        <v/>
      </c>
    </row>
    <row r="13">
      <c r="A13" s="30" t="n"/>
      <c r="B13" s="30" t="n"/>
      <c r="C13" s="30" t="n"/>
      <c r="D13" s="30" t="n"/>
      <c r="E13" s="30" t="n"/>
      <c r="F13" s="31" t="n"/>
      <c r="G13" s="31" t="n"/>
      <c r="H13" s="31" t="n"/>
      <c r="I13" s="31" t="n"/>
      <c r="J13" s="30" t="n"/>
      <c r="K13" s="30" t="n"/>
      <c r="L13" s="30" t="n"/>
      <c r="M13" s="27">
        <f>IF(AND(ISNUMBER(F13),ISNUMBER(G13)),F13*G13/1000000,"")</f>
        <v/>
      </c>
      <c r="N13" s="27">
        <f>IF(M13="","",M13*IF(ISNUMBER(L13),L13,1))</f>
        <v/>
      </c>
      <c r="O13" s="32">
        <f>IF(COUNTA(A13:L13)=0,"",IF(OR(NOT(ISNUMBER(F13)),NOT(ISNUMBER(G13))),"⚠ Largeur ou hauteur manquante",IF(C13="","⚠ Façade manquante",IF(AND(OR(E13="Fenêtre",E13="Châssis fixe"),NOT(ISNUMBER(H13))),"⚠ Hauteur d'allège manquante",IF(AND(E13&lt;&gt;"Fenêtre de toit",IF($B13="R+1",N(Projet!$B$61),N(Projet!$B$60))&gt;0,N(H13)+G13&gt;IF($B13="R+1",N(Projet!$B$61),N(Projet!$B$60))*1000),"⚠ Dépasse la hauteur sous plafond",IF(J13="","⚠ Préciser tableau / hors tout","OK"))))))</f>
        <v/>
      </c>
    </row>
    <row r="14">
      <c r="A14" s="30" t="n"/>
      <c r="B14" s="30" t="n"/>
      <c r="C14" s="30" t="n"/>
      <c r="D14" s="30" t="n"/>
      <c r="E14" s="30" t="n"/>
      <c r="F14" s="31" t="n"/>
      <c r="G14" s="31" t="n"/>
      <c r="H14" s="31" t="n"/>
      <c r="I14" s="31" t="n"/>
      <c r="J14" s="30" t="n"/>
      <c r="K14" s="30" t="n"/>
      <c r="L14" s="30" t="n"/>
      <c r="M14" s="27">
        <f>IF(AND(ISNUMBER(F14),ISNUMBER(G14)),F14*G14/1000000,"")</f>
        <v/>
      </c>
      <c r="N14" s="27">
        <f>IF(M14="","",M14*IF(ISNUMBER(L14),L14,1))</f>
        <v/>
      </c>
      <c r="O14" s="32">
        <f>IF(COUNTA(A14:L14)=0,"",IF(OR(NOT(ISNUMBER(F14)),NOT(ISNUMBER(G14))),"⚠ Largeur ou hauteur manquante",IF(C14="","⚠ Façade manquante",IF(AND(OR(E14="Fenêtre",E14="Châssis fixe"),NOT(ISNUMBER(H14))),"⚠ Hauteur d'allège manquante",IF(AND(E14&lt;&gt;"Fenêtre de toit",IF($B14="R+1",N(Projet!$B$61),N(Projet!$B$60))&gt;0,N(H14)+G14&gt;IF($B14="R+1",N(Projet!$B$61),N(Projet!$B$60))*1000),"⚠ Dépasse la hauteur sous plafond",IF(J14="","⚠ Préciser tableau / hors tout","OK"))))))</f>
        <v/>
      </c>
    </row>
    <row r="15">
      <c r="A15" s="30" t="n"/>
      <c r="B15" s="30" t="n"/>
      <c r="C15" s="30" t="n"/>
      <c r="D15" s="30" t="n"/>
      <c r="E15" s="30" t="n"/>
      <c r="F15" s="31" t="n"/>
      <c r="G15" s="31" t="n"/>
      <c r="H15" s="31" t="n"/>
      <c r="I15" s="31" t="n"/>
      <c r="J15" s="30" t="n"/>
      <c r="K15" s="30" t="n"/>
      <c r="L15" s="30" t="n"/>
      <c r="M15" s="27">
        <f>IF(AND(ISNUMBER(F15),ISNUMBER(G15)),F15*G15/1000000,"")</f>
        <v/>
      </c>
      <c r="N15" s="27">
        <f>IF(M15="","",M15*IF(ISNUMBER(L15),L15,1))</f>
        <v/>
      </c>
      <c r="O15" s="32">
        <f>IF(COUNTA(A15:L15)=0,"",IF(OR(NOT(ISNUMBER(F15)),NOT(ISNUMBER(G15))),"⚠ Largeur ou hauteur manquante",IF(C15="","⚠ Façade manquante",IF(AND(OR(E15="Fenêtre",E15="Châssis fixe"),NOT(ISNUMBER(H15))),"⚠ Hauteur d'allège manquante",IF(AND(E15&lt;&gt;"Fenêtre de toit",IF($B15="R+1",N(Projet!$B$61),N(Projet!$B$60))&gt;0,N(H15)+G15&gt;IF($B15="R+1",N(Projet!$B$61),N(Projet!$B$60))*1000),"⚠ Dépasse la hauteur sous plafond",IF(J15="","⚠ Préciser tableau / hors tout","OK"))))))</f>
        <v/>
      </c>
    </row>
    <row r="16">
      <c r="A16" s="30" t="n"/>
      <c r="B16" s="30" t="n"/>
      <c r="C16" s="30" t="n"/>
      <c r="D16" s="30" t="n"/>
      <c r="E16" s="30" t="n"/>
      <c r="F16" s="31" t="n"/>
      <c r="G16" s="31" t="n"/>
      <c r="H16" s="31" t="n"/>
      <c r="I16" s="31" t="n"/>
      <c r="J16" s="30" t="n"/>
      <c r="K16" s="30" t="n"/>
      <c r="L16" s="30" t="n"/>
      <c r="M16" s="27">
        <f>IF(AND(ISNUMBER(F16),ISNUMBER(G16)),F16*G16/1000000,"")</f>
        <v/>
      </c>
      <c r="N16" s="27">
        <f>IF(M16="","",M16*IF(ISNUMBER(L16),L16,1))</f>
        <v/>
      </c>
      <c r="O16" s="32">
        <f>IF(COUNTA(A16:L16)=0,"",IF(OR(NOT(ISNUMBER(F16)),NOT(ISNUMBER(G16))),"⚠ Largeur ou hauteur manquante",IF(C16="","⚠ Façade manquante",IF(AND(OR(E16="Fenêtre",E16="Châssis fixe"),NOT(ISNUMBER(H16))),"⚠ Hauteur d'allège manquante",IF(AND(E16&lt;&gt;"Fenêtre de toit",IF($B16="R+1",N(Projet!$B$61),N(Projet!$B$60))&gt;0,N(H16)+G16&gt;IF($B16="R+1",N(Projet!$B$61),N(Projet!$B$60))*1000),"⚠ Dépasse la hauteur sous plafond",IF(J16="","⚠ Préciser tableau / hors tout","OK"))))))</f>
        <v/>
      </c>
    </row>
    <row r="17">
      <c r="A17" s="30" t="n"/>
      <c r="B17" s="30" t="n"/>
      <c r="C17" s="30" t="n"/>
      <c r="D17" s="30" t="n"/>
      <c r="E17" s="30" t="n"/>
      <c r="F17" s="31" t="n"/>
      <c r="G17" s="31" t="n"/>
      <c r="H17" s="31" t="n"/>
      <c r="I17" s="31" t="n"/>
      <c r="J17" s="30" t="n"/>
      <c r="K17" s="30" t="n"/>
      <c r="L17" s="30" t="n"/>
      <c r="M17" s="27">
        <f>IF(AND(ISNUMBER(F17),ISNUMBER(G17)),F17*G17/1000000,"")</f>
        <v/>
      </c>
      <c r="N17" s="27">
        <f>IF(M17="","",M17*IF(ISNUMBER(L17),L17,1))</f>
        <v/>
      </c>
      <c r="O17" s="32">
        <f>IF(COUNTA(A17:L17)=0,"",IF(OR(NOT(ISNUMBER(F17)),NOT(ISNUMBER(G17))),"⚠ Largeur ou hauteur manquante",IF(C17="","⚠ Façade manquante",IF(AND(OR(E17="Fenêtre",E17="Châssis fixe"),NOT(ISNUMBER(H17))),"⚠ Hauteur d'allège manquante",IF(AND(E17&lt;&gt;"Fenêtre de toit",IF($B17="R+1",N(Projet!$B$61),N(Projet!$B$60))&gt;0,N(H17)+G17&gt;IF($B17="R+1",N(Projet!$B$61),N(Projet!$B$60))*1000),"⚠ Dépasse la hauteur sous plafond",IF(J17="","⚠ Préciser tableau / hors tout","OK"))))))</f>
        <v/>
      </c>
    </row>
    <row r="18">
      <c r="A18" s="30" t="n"/>
      <c r="B18" s="30" t="n"/>
      <c r="C18" s="30" t="n"/>
      <c r="D18" s="30" t="n"/>
      <c r="E18" s="30" t="n"/>
      <c r="F18" s="31" t="n"/>
      <c r="G18" s="31" t="n"/>
      <c r="H18" s="31" t="n"/>
      <c r="I18" s="31" t="n"/>
      <c r="J18" s="30" t="n"/>
      <c r="K18" s="30" t="n"/>
      <c r="L18" s="30" t="n"/>
      <c r="M18" s="27">
        <f>IF(AND(ISNUMBER(F18),ISNUMBER(G18)),F18*G18/1000000,"")</f>
        <v/>
      </c>
      <c r="N18" s="27">
        <f>IF(M18="","",M18*IF(ISNUMBER(L18),L18,1))</f>
        <v/>
      </c>
      <c r="O18" s="32">
        <f>IF(COUNTA(A18:L18)=0,"",IF(OR(NOT(ISNUMBER(F18)),NOT(ISNUMBER(G18))),"⚠ Largeur ou hauteur manquante",IF(C18="","⚠ Façade manquante",IF(AND(OR(E18="Fenêtre",E18="Châssis fixe"),NOT(ISNUMBER(H18))),"⚠ Hauteur d'allège manquante",IF(AND(E18&lt;&gt;"Fenêtre de toit",IF($B18="R+1",N(Projet!$B$61),N(Projet!$B$60))&gt;0,N(H18)+G18&gt;IF($B18="R+1",N(Projet!$B$61),N(Projet!$B$60))*1000),"⚠ Dépasse la hauteur sous plafond",IF(J18="","⚠ Préciser tableau / hors tout","OK"))))))</f>
        <v/>
      </c>
    </row>
    <row r="19">
      <c r="A19" s="30" t="n"/>
      <c r="B19" s="30" t="n"/>
      <c r="C19" s="30" t="n"/>
      <c r="D19" s="30" t="n"/>
      <c r="E19" s="30" t="n"/>
      <c r="F19" s="31" t="n"/>
      <c r="G19" s="31" t="n"/>
      <c r="H19" s="31" t="n"/>
      <c r="I19" s="31" t="n"/>
      <c r="J19" s="30" t="n"/>
      <c r="K19" s="30" t="n"/>
      <c r="L19" s="30" t="n"/>
      <c r="M19" s="27">
        <f>IF(AND(ISNUMBER(F19),ISNUMBER(G19)),F19*G19/1000000,"")</f>
        <v/>
      </c>
      <c r="N19" s="27">
        <f>IF(M19="","",M19*IF(ISNUMBER(L19),L19,1))</f>
        <v/>
      </c>
      <c r="O19" s="32">
        <f>IF(COUNTA(A19:L19)=0,"",IF(OR(NOT(ISNUMBER(F19)),NOT(ISNUMBER(G19))),"⚠ Largeur ou hauteur manquante",IF(C19="","⚠ Façade manquante",IF(AND(OR(E19="Fenêtre",E19="Châssis fixe"),NOT(ISNUMBER(H19))),"⚠ Hauteur d'allège manquante",IF(AND(E19&lt;&gt;"Fenêtre de toit",IF($B19="R+1",N(Projet!$B$61),N(Projet!$B$60))&gt;0,N(H19)+G19&gt;IF($B19="R+1",N(Projet!$B$61),N(Projet!$B$60))*1000),"⚠ Dépasse la hauteur sous plafond",IF(J19="","⚠ Préciser tableau / hors tout","OK"))))))</f>
        <v/>
      </c>
    </row>
    <row r="20">
      <c r="A20" s="30" t="n"/>
      <c r="B20" s="30" t="n"/>
      <c r="C20" s="30" t="n"/>
      <c r="D20" s="30" t="n"/>
      <c r="E20" s="30" t="n"/>
      <c r="F20" s="31" t="n"/>
      <c r="G20" s="31" t="n"/>
      <c r="H20" s="31" t="n"/>
      <c r="I20" s="31" t="n"/>
      <c r="J20" s="30" t="n"/>
      <c r="K20" s="30" t="n"/>
      <c r="L20" s="30" t="n"/>
      <c r="M20" s="27">
        <f>IF(AND(ISNUMBER(F20),ISNUMBER(G20)),F20*G20/1000000,"")</f>
        <v/>
      </c>
      <c r="N20" s="27">
        <f>IF(M20="","",M20*IF(ISNUMBER(L20),L20,1))</f>
        <v/>
      </c>
      <c r="O20" s="32">
        <f>IF(COUNTA(A20:L20)=0,"",IF(OR(NOT(ISNUMBER(F20)),NOT(ISNUMBER(G20))),"⚠ Largeur ou hauteur manquante",IF(C20="","⚠ Façade manquante",IF(AND(OR(E20="Fenêtre",E20="Châssis fixe"),NOT(ISNUMBER(H20))),"⚠ Hauteur d'allège manquante",IF(AND(E20&lt;&gt;"Fenêtre de toit",IF($B20="R+1",N(Projet!$B$61),N(Projet!$B$60))&gt;0,N(H20)+G20&gt;IF($B20="R+1",N(Projet!$B$61),N(Projet!$B$60))*1000),"⚠ Dépasse la hauteur sous plafond",IF(J20="","⚠ Préciser tableau / hors tout","OK"))))))</f>
        <v/>
      </c>
    </row>
    <row r="21">
      <c r="A21" s="30" t="n"/>
      <c r="B21" s="30" t="n"/>
      <c r="C21" s="30" t="n"/>
      <c r="D21" s="30" t="n"/>
      <c r="E21" s="30" t="n"/>
      <c r="F21" s="31" t="n"/>
      <c r="G21" s="31" t="n"/>
      <c r="H21" s="31" t="n"/>
      <c r="I21" s="31" t="n"/>
      <c r="J21" s="30" t="n"/>
      <c r="K21" s="30" t="n"/>
      <c r="L21" s="30" t="n"/>
      <c r="M21" s="27">
        <f>IF(AND(ISNUMBER(F21),ISNUMBER(G21)),F21*G21/1000000,"")</f>
        <v/>
      </c>
      <c r="N21" s="27">
        <f>IF(M21="","",M21*IF(ISNUMBER(L21),L21,1))</f>
        <v/>
      </c>
      <c r="O21" s="32">
        <f>IF(COUNTA(A21:L21)=0,"",IF(OR(NOT(ISNUMBER(F21)),NOT(ISNUMBER(G21))),"⚠ Largeur ou hauteur manquante",IF(C21="","⚠ Façade manquante",IF(AND(OR(E21="Fenêtre",E21="Châssis fixe"),NOT(ISNUMBER(H21))),"⚠ Hauteur d'allège manquante",IF(AND(E21&lt;&gt;"Fenêtre de toit",IF($B21="R+1",N(Projet!$B$61),N(Projet!$B$60))&gt;0,N(H21)+G21&gt;IF($B21="R+1",N(Projet!$B$61),N(Projet!$B$60))*1000),"⚠ Dépasse la hauteur sous plafond",IF(J21="","⚠ Préciser tableau / hors tout","OK"))))))</f>
        <v/>
      </c>
    </row>
    <row r="22">
      <c r="A22" s="30" t="n"/>
      <c r="B22" s="30" t="n"/>
      <c r="C22" s="30" t="n"/>
      <c r="D22" s="30" t="n"/>
      <c r="E22" s="30" t="n"/>
      <c r="F22" s="31" t="n"/>
      <c r="G22" s="31" t="n"/>
      <c r="H22" s="31" t="n"/>
      <c r="I22" s="31" t="n"/>
      <c r="J22" s="30" t="n"/>
      <c r="K22" s="30" t="n"/>
      <c r="L22" s="30" t="n"/>
      <c r="M22" s="27">
        <f>IF(AND(ISNUMBER(F22),ISNUMBER(G22)),F22*G22/1000000,"")</f>
        <v/>
      </c>
      <c r="N22" s="27">
        <f>IF(M22="","",M22*IF(ISNUMBER(L22),L22,1))</f>
        <v/>
      </c>
      <c r="O22" s="32">
        <f>IF(COUNTA(A22:L22)=0,"",IF(OR(NOT(ISNUMBER(F22)),NOT(ISNUMBER(G22))),"⚠ Largeur ou hauteur manquante",IF(C22="","⚠ Façade manquante",IF(AND(OR(E22="Fenêtre",E22="Châssis fixe"),NOT(ISNUMBER(H22))),"⚠ Hauteur d'allège manquante",IF(AND(E22&lt;&gt;"Fenêtre de toit",IF($B22="R+1",N(Projet!$B$61),N(Projet!$B$60))&gt;0,N(H22)+G22&gt;IF($B22="R+1",N(Projet!$B$61),N(Projet!$B$60))*1000),"⚠ Dépasse la hauteur sous plafond",IF(J22="","⚠ Préciser tableau / hors tout","OK"))))))</f>
        <v/>
      </c>
    </row>
    <row r="23">
      <c r="A23" s="30" t="n"/>
      <c r="B23" s="30" t="n"/>
      <c r="C23" s="30" t="n"/>
      <c r="D23" s="30" t="n"/>
      <c r="E23" s="30" t="n"/>
      <c r="F23" s="31" t="n"/>
      <c r="G23" s="31" t="n"/>
      <c r="H23" s="31" t="n"/>
      <c r="I23" s="31" t="n"/>
      <c r="J23" s="30" t="n"/>
      <c r="K23" s="30" t="n"/>
      <c r="L23" s="30" t="n"/>
      <c r="M23" s="27">
        <f>IF(AND(ISNUMBER(F23),ISNUMBER(G23)),F23*G23/1000000,"")</f>
        <v/>
      </c>
      <c r="N23" s="27">
        <f>IF(M23="","",M23*IF(ISNUMBER(L23),L23,1))</f>
        <v/>
      </c>
      <c r="O23" s="32">
        <f>IF(COUNTA(A23:L23)=0,"",IF(OR(NOT(ISNUMBER(F23)),NOT(ISNUMBER(G23))),"⚠ Largeur ou hauteur manquante",IF(C23="","⚠ Façade manquante",IF(AND(OR(E23="Fenêtre",E23="Châssis fixe"),NOT(ISNUMBER(H23))),"⚠ Hauteur d'allège manquante",IF(AND(E23&lt;&gt;"Fenêtre de toit",IF($B23="R+1",N(Projet!$B$61),N(Projet!$B$60))&gt;0,N(H23)+G23&gt;IF($B23="R+1",N(Projet!$B$61),N(Projet!$B$60))*1000),"⚠ Dépasse la hauteur sous plafond",IF(J23="","⚠ Préciser tableau / hors tout","OK"))))))</f>
        <v/>
      </c>
    </row>
    <row r="24">
      <c r="A24" s="30" t="n"/>
      <c r="B24" s="30" t="n"/>
      <c r="C24" s="30" t="n"/>
      <c r="D24" s="30" t="n"/>
      <c r="E24" s="30" t="n"/>
      <c r="F24" s="31" t="n"/>
      <c r="G24" s="31" t="n"/>
      <c r="H24" s="31" t="n"/>
      <c r="I24" s="31" t="n"/>
      <c r="J24" s="30" t="n"/>
      <c r="K24" s="30" t="n"/>
      <c r="L24" s="30" t="n"/>
      <c r="M24" s="27">
        <f>IF(AND(ISNUMBER(F24),ISNUMBER(G24)),F24*G24/1000000,"")</f>
        <v/>
      </c>
      <c r="N24" s="27">
        <f>IF(M24="","",M24*IF(ISNUMBER(L24),L24,1))</f>
        <v/>
      </c>
      <c r="O24" s="32">
        <f>IF(COUNTA(A24:L24)=0,"",IF(OR(NOT(ISNUMBER(F24)),NOT(ISNUMBER(G24))),"⚠ Largeur ou hauteur manquante",IF(C24="","⚠ Façade manquante",IF(AND(OR(E24="Fenêtre",E24="Châssis fixe"),NOT(ISNUMBER(H24))),"⚠ Hauteur d'allège manquante",IF(AND(E24&lt;&gt;"Fenêtre de toit",IF($B24="R+1",N(Projet!$B$61),N(Projet!$B$60))&gt;0,N(H24)+G24&gt;IF($B24="R+1",N(Projet!$B$61),N(Projet!$B$60))*1000),"⚠ Dépasse la hauteur sous plafond",IF(J24="","⚠ Préciser tableau / hors tout","OK"))))))</f>
        <v/>
      </c>
    </row>
    <row r="25">
      <c r="A25" s="30" t="n"/>
      <c r="B25" s="30" t="n"/>
      <c r="C25" s="30" t="n"/>
      <c r="D25" s="30" t="n"/>
      <c r="E25" s="30" t="n"/>
      <c r="F25" s="31" t="n"/>
      <c r="G25" s="31" t="n"/>
      <c r="H25" s="31" t="n"/>
      <c r="I25" s="31" t="n"/>
      <c r="J25" s="30" t="n"/>
      <c r="K25" s="30" t="n"/>
      <c r="L25" s="30" t="n"/>
      <c r="M25" s="27">
        <f>IF(AND(ISNUMBER(F25),ISNUMBER(G25)),F25*G25/1000000,"")</f>
        <v/>
      </c>
      <c r="N25" s="27">
        <f>IF(M25="","",M25*IF(ISNUMBER(L25),L25,1))</f>
        <v/>
      </c>
      <c r="O25" s="32">
        <f>IF(COUNTA(A25:L25)=0,"",IF(OR(NOT(ISNUMBER(F25)),NOT(ISNUMBER(G25))),"⚠ Largeur ou hauteur manquante",IF(C25="","⚠ Façade manquante",IF(AND(OR(E25="Fenêtre",E25="Châssis fixe"),NOT(ISNUMBER(H25))),"⚠ Hauteur d'allège manquante",IF(AND(E25&lt;&gt;"Fenêtre de toit",IF($B25="R+1",N(Projet!$B$61),N(Projet!$B$60))&gt;0,N(H25)+G25&gt;IF($B25="R+1",N(Projet!$B$61),N(Projet!$B$60))*1000),"⚠ Dépasse la hauteur sous plafond",IF(J25="","⚠ Préciser tableau / hors tout","OK"))))))</f>
        <v/>
      </c>
    </row>
    <row r="26">
      <c r="A26" s="30" t="n"/>
      <c r="B26" s="30" t="n"/>
      <c r="C26" s="30" t="n"/>
      <c r="D26" s="30" t="n"/>
      <c r="E26" s="30" t="n"/>
      <c r="F26" s="31" t="n"/>
      <c r="G26" s="31" t="n"/>
      <c r="H26" s="31" t="n"/>
      <c r="I26" s="31" t="n"/>
      <c r="J26" s="30" t="n"/>
      <c r="K26" s="30" t="n"/>
      <c r="L26" s="30" t="n"/>
      <c r="M26" s="27">
        <f>IF(AND(ISNUMBER(F26),ISNUMBER(G26)),F26*G26/1000000,"")</f>
        <v/>
      </c>
      <c r="N26" s="27">
        <f>IF(M26="","",M26*IF(ISNUMBER(L26),L26,1))</f>
        <v/>
      </c>
      <c r="O26" s="32">
        <f>IF(COUNTA(A26:L26)=0,"",IF(OR(NOT(ISNUMBER(F26)),NOT(ISNUMBER(G26))),"⚠ Largeur ou hauteur manquante",IF(C26="","⚠ Façade manquante",IF(AND(OR(E26="Fenêtre",E26="Châssis fixe"),NOT(ISNUMBER(H26))),"⚠ Hauteur d'allège manquante",IF(AND(E26&lt;&gt;"Fenêtre de toit",IF($B26="R+1",N(Projet!$B$61),N(Projet!$B$60))&gt;0,N(H26)+G26&gt;IF($B26="R+1",N(Projet!$B$61),N(Projet!$B$60))*1000),"⚠ Dépasse la hauteur sous plafond",IF(J26="","⚠ Préciser tableau / hors tout","OK"))))))</f>
        <v/>
      </c>
    </row>
    <row r="27">
      <c r="A27" s="30" t="n"/>
      <c r="B27" s="30" t="n"/>
      <c r="C27" s="30" t="n"/>
      <c r="D27" s="30" t="n"/>
      <c r="E27" s="30" t="n"/>
      <c r="F27" s="31" t="n"/>
      <c r="G27" s="31" t="n"/>
      <c r="H27" s="31" t="n"/>
      <c r="I27" s="31" t="n"/>
      <c r="J27" s="30" t="n"/>
      <c r="K27" s="30" t="n"/>
      <c r="L27" s="30" t="n"/>
      <c r="M27" s="27">
        <f>IF(AND(ISNUMBER(F27),ISNUMBER(G27)),F27*G27/1000000,"")</f>
        <v/>
      </c>
      <c r="N27" s="27">
        <f>IF(M27="","",M27*IF(ISNUMBER(L27),L27,1))</f>
        <v/>
      </c>
      <c r="O27" s="32">
        <f>IF(COUNTA(A27:L27)=0,"",IF(OR(NOT(ISNUMBER(F27)),NOT(ISNUMBER(G27))),"⚠ Largeur ou hauteur manquante",IF(C27="","⚠ Façade manquante",IF(AND(OR(E27="Fenêtre",E27="Châssis fixe"),NOT(ISNUMBER(H27))),"⚠ Hauteur d'allège manquante",IF(AND(E27&lt;&gt;"Fenêtre de toit",IF($B27="R+1",N(Projet!$B$61),N(Projet!$B$60))&gt;0,N(H27)+G27&gt;IF($B27="R+1",N(Projet!$B$61),N(Projet!$B$60))*1000),"⚠ Dépasse la hauteur sous plafond",IF(J27="","⚠ Préciser tableau / hors tout","OK"))))))</f>
        <v/>
      </c>
    </row>
    <row r="28">
      <c r="A28" s="30" t="n"/>
      <c r="B28" s="30" t="n"/>
      <c r="C28" s="30" t="n"/>
      <c r="D28" s="30" t="n"/>
      <c r="E28" s="30" t="n"/>
      <c r="F28" s="31" t="n"/>
      <c r="G28" s="31" t="n"/>
      <c r="H28" s="31" t="n"/>
      <c r="I28" s="31" t="n"/>
      <c r="J28" s="30" t="n"/>
      <c r="K28" s="30" t="n"/>
      <c r="L28" s="30" t="n"/>
      <c r="M28" s="27">
        <f>IF(AND(ISNUMBER(F28),ISNUMBER(G28)),F28*G28/1000000,"")</f>
        <v/>
      </c>
      <c r="N28" s="27">
        <f>IF(M28="","",M28*IF(ISNUMBER(L28),L28,1))</f>
        <v/>
      </c>
      <c r="O28" s="32">
        <f>IF(COUNTA(A28:L28)=0,"",IF(OR(NOT(ISNUMBER(F28)),NOT(ISNUMBER(G28))),"⚠ Largeur ou hauteur manquante",IF(C28="","⚠ Façade manquante",IF(AND(OR(E28="Fenêtre",E28="Châssis fixe"),NOT(ISNUMBER(H28))),"⚠ Hauteur d'allège manquante",IF(AND(E28&lt;&gt;"Fenêtre de toit",IF($B28="R+1",N(Projet!$B$61),N(Projet!$B$60))&gt;0,N(H28)+G28&gt;IF($B28="R+1",N(Projet!$B$61),N(Projet!$B$60))*1000),"⚠ Dépasse la hauteur sous plafond",IF(J28="","⚠ Préciser tableau / hors tout","OK"))))))</f>
        <v/>
      </c>
    </row>
    <row r="29">
      <c r="A29" s="30" t="n"/>
      <c r="B29" s="30" t="n"/>
      <c r="C29" s="30" t="n"/>
      <c r="D29" s="30" t="n"/>
      <c r="E29" s="30" t="n"/>
      <c r="F29" s="31" t="n"/>
      <c r="G29" s="31" t="n"/>
      <c r="H29" s="31" t="n"/>
      <c r="I29" s="31" t="n"/>
      <c r="J29" s="30" t="n"/>
      <c r="K29" s="30" t="n"/>
      <c r="L29" s="30" t="n"/>
      <c r="M29" s="27">
        <f>IF(AND(ISNUMBER(F29),ISNUMBER(G29)),F29*G29/1000000,"")</f>
        <v/>
      </c>
      <c r="N29" s="27">
        <f>IF(M29="","",M29*IF(ISNUMBER(L29),L29,1))</f>
        <v/>
      </c>
      <c r="O29" s="32">
        <f>IF(COUNTA(A29:L29)=0,"",IF(OR(NOT(ISNUMBER(F29)),NOT(ISNUMBER(G29))),"⚠ Largeur ou hauteur manquante",IF(C29="","⚠ Façade manquante",IF(AND(OR(E29="Fenêtre",E29="Châssis fixe"),NOT(ISNUMBER(H29))),"⚠ Hauteur d'allège manquante",IF(AND(E29&lt;&gt;"Fenêtre de toit",IF($B29="R+1",N(Projet!$B$61),N(Projet!$B$60))&gt;0,N(H29)+G29&gt;IF($B29="R+1",N(Projet!$B$61),N(Projet!$B$60))*1000),"⚠ Dépasse la hauteur sous plafond",IF(J29="","⚠ Préciser tableau / hors tout","OK"))))))</f>
        <v/>
      </c>
    </row>
    <row r="30">
      <c r="A30" s="30" t="n"/>
      <c r="B30" s="30" t="n"/>
      <c r="C30" s="30" t="n"/>
      <c r="D30" s="30" t="n"/>
      <c r="E30" s="30" t="n"/>
      <c r="F30" s="31" t="n"/>
      <c r="G30" s="31" t="n"/>
      <c r="H30" s="31" t="n"/>
      <c r="I30" s="31" t="n"/>
      <c r="J30" s="30" t="n"/>
      <c r="K30" s="30" t="n"/>
      <c r="L30" s="30" t="n"/>
      <c r="M30" s="27">
        <f>IF(AND(ISNUMBER(F30),ISNUMBER(G30)),F30*G30/1000000,"")</f>
        <v/>
      </c>
      <c r="N30" s="27">
        <f>IF(M30="","",M30*IF(ISNUMBER(L30),L30,1))</f>
        <v/>
      </c>
      <c r="O30" s="32">
        <f>IF(COUNTA(A30:L30)=0,"",IF(OR(NOT(ISNUMBER(F30)),NOT(ISNUMBER(G30))),"⚠ Largeur ou hauteur manquante",IF(C30="","⚠ Façade manquante",IF(AND(OR(E30="Fenêtre",E30="Châssis fixe"),NOT(ISNUMBER(H30))),"⚠ Hauteur d'allège manquante",IF(AND(E30&lt;&gt;"Fenêtre de toit",IF($B30="R+1",N(Projet!$B$61),N(Projet!$B$60))&gt;0,N(H30)+G30&gt;IF($B30="R+1",N(Projet!$B$61),N(Projet!$B$60))*1000),"⚠ Dépasse la hauteur sous plafond",IF(J30="","⚠ Préciser tableau / hors tout","OK"))))))</f>
        <v/>
      </c>
    </row>
    <row r="31">
      <c r="A31" s="30" t="n"/>
      <c r="B31" s="30" t="n"/>
      <c r="C31" s="30" t="n"/>
      <c r="D31" s="30" t="n"/>
      <c r="E31" s="30" t="n"/>
      <c r="F31" s="31" t="n"/>
      <c r="G31" s="31" t="n"/>
      <c r="H31" s="31" t="n"/>
      <c r="I31" s="31" t="n"/>
      <c r="J31" s="30" t="n"/>
      <c r="K31" s="30" t="n"/>
      <c r="L31" s="30" t="n"/>
      <c r="M31" s="27">
        <f>IF(AND(ISNUMBER(F31),ISNUMBER(G31)),F31*G31/1000000,"")</f>
        <v/>
      </c>
      <c r="N31" s="27">
        <f>IF(M31="","",M31*IF(ISNUMBER(L31),L31,1))</f>
        <v/>
      </c>
      <c r="O31" s="32">
        <f>IF(COUNTA(A31:L31)=0,"",IF(OR(NOT(ISNUMBER(F31)),NOT(ISNUMBER(G31))),"⚠ Largeur ou hauteur manquante",IF(C31="","⚠ Façade manquante",IF(AND(OR(E31="Fenêtre",E31="Châssis fixe"),NOT(ISNUMBER(H31))),"⚠ Hauteur d'allège manquante",IF(AND(E31&lt;&gt;"Fenêtre de toit",IF($B31="R+1",N(Projet!$B$61),N(Projet!$B$60))&gt;0,N(H31)+G31&gt;IF($B31="R+1",N(Projet!$B$61),N(Projet!$B$60))*1000),"⚠ Dépasse la hauteur sous plafond",IF(J31="","⚠ Préciser tableau / hors tout","OK"))))))</f>
        <v/>
      </c>
    </row>
    <row r="32">
      <c r="A32" s="30" t="n"/>
      <c r="B32" s="30" t="n"/>
      <c r="C32" s="30" t="n"/>
      <c r="D32" s="30" t="n"/>
      <c r="E32" s="30" t="n"/>
      <c r="F32" s="31" t="n"/>
      <c r="G32" s="31" t="n"/>
      <c r="H32" s="31" t="n"/>
      <c r="I32" s="31" t="n"/>
      <c r="J32" s="30" t="n"/>
      <c r="K32" s="30" t="n"/>
      <c r="L32" s="30" t="n"/>
      <c r="M32" s="27">
        <f>IF(AND(ISNUMBER(F32),ISNUMBER(G32)),F32*G32/1000000,"")</f>
        <v/>
      </c>
      <c r="N32" s="27">
        <f>IF(M32="","",M32*IF(ISNUMBER(L32),L32,1))</f>
        <v/>
      </c>
      <c r="O32" s="32">
        <f>IF(COUNTA(A32:L32)=0,"",IF(OR(NOT(ISNUMBER(F32)),NOT(ISNUMBER(G32))),"⚠ Largeur ou hauteur manquante",IF(C32="","⚠ Façade manquante",IF(AND(OR(E32="Fenêtre",E32="Châssis fixe"),NOT(ISNUMBER(H32))),"⚠ Hauteur d'allège manquante",IF(AND(E32&lt;&gt;"Fenêtre de toit",IF($B32="R+1",N(Projet!$B$61),N(Projet!$B$60))&gt;0,N(H32)+G32&gt;IF($B32="R+1",N(Projet!$B$61),N(Projet!$B$60))*1000),"⚠ Dépasse la hauteur sous plafond",IF(J32="","⚠ Préciser tableau / hors tout","OK"))))))</f>
        <v/>
      </c>
    </row>
    <row r="33">
      <c r="A33" s="30" t="n"/>
      <c r="B33" s="30" t="n"/>
      <c r="C33" s="30" t="n"/>
      <c r="D33" s="30" t="n"/>
      <c r="E33" s="30" t="n"/>
      <c r="F33" s="31" t="n"/>
      <c r="G33" s="31" t="n"/>
      <c r="H33" s="31" t="n"/>
      <c r="I33" s="31" t="n"/>
      <c r="J33" s="30" t="n"/>
      <c r="K33" s="30" t="n"/>
      <c r="L33" s="30" t="n"/>
      <c r="M33" s="27">
        <f>IF(AND(ISNUMBER(F33),ISNUMBER(G33)),F33*G33/1000000,"")</f>
        <v/>
      </c>
      <c r="N33" s="27">
        <f>IF(M33="","",M33*IF(ISNUMBER(L33),L33,1))</f>
        <v/>
      </c>
      <c r="O33" s="32">
        <f>IF(COUNTA(A33:L33)=0,"",IF(OR(NOT(ISNUMBER(F33)),NOT(ISNUMBER(G33))),"⚠ Largeur ou hauteur manquante",IF(C33="","⚠ Façade manquante",IF(AND(OR(E33="Fenêtre",E33="Châssis fixe"),NOT(ISNUMBER(H33))),"⚠ Hauteur d'allège manquante",IF(AND(E33&lt;&gt;"Fenêtre de toit",IF($B33="R+1",N(Projet!$B$61),N(Projet!$B$60))&gt;0,N(H33)+G33&gt;IF($B33="R+1",N(Projet!$B$61),N(Projet!$B$60))*1000),"⚠ Dépasse la hauteur sous plafond",IF(J33="","⚠ Préciser tableau / hors tout","OK"))))))</f>
        <v/>
      </c>
    </row>
    <row r="34">
      <c r="A34" s="30" t="n"/>
      <c r="B34" s="30" t="n"/>
      <c r="C34" s="30" t="n"/>
      <c r="D34" s="30" t="n"/>
      <c r="E34" s="30" t="n"/>
      <c r="F34" s="31" t="n"/>
      <c r="G34" s="31" t="n"/>
      <c r="H34" s="31" t="n"/>
      <c r="I34" s="31" t="n"/>
      <c r="J34" s="30" t="n"/>
      <c r="K34" s="30" t="n"/>
      <c r="L34" s="30" t="n"/>
      <c r="M34" s="27">
        <f>IF(AND(ISNUMBER(F34),ISNUMBER(G34)),F34*G34/1000000,"")</f>
        <v/>
      </c>
      <c r="N34" s="27">
        <f>IF(M34="","",M34*IF(ISNUMBER(L34),L34,1))</f>
        <v/>
      </c>
      <c r="O34" s="32">
        <f>IF(COUNTA(A34:L34)=0,"",IF(OR(NOT(ISNUMBER(F34)),NOT(ISNUMBER(G34))),"⚠ Largeur ou hauteur manquante",IF(C34="","⚠ Façade manquante",IF(AND(OR(E34="Fenêtre",E34="Châssis fixe"),NOT(ISNUMBER(H34))),"⚠ Hauteur d'allège manquante",IF(AND(E34&lt;&gt;"Fenêtre de toit",IF($B34="R+1",N(Projet!$B$61),N(Projet!$B$60))&gt;0,N(H34)+G34&gt;IF($B34="R+1",N(Projet!$B$61),N(Projet!$B$60))*1000),"⚠ Dépasse la hauteur sous plafond",IF(J34="","⚠ Préciser tableau / hors tout","OK"))))))</f>
        <v/>
      </c>
    </row>
    <row r="35">
      <c r="A35" s="30" t="n"/>
      <c r="B35" s="30" t="n"/>
      <c r="C35" s="30" t="n"/>
      <c r="D35" s="30" t="n"/>
      <c r="E35" s="30" t="n"/>
      <c r="F35" s="31" t="n"/>
      <c r="G35" s="31" t="n"/>
      <c r="H35" s="31" t="n"/>
      <c r="I35" s="31" t="n"/>
      <c r="J35" s="30" t="n"/>
      <c r="K35" s="30" t="n"/>
      <c r="L35" s="30" t="n"/>
      <c r="M35" s="27">
        <f>IF(AND(ISNUMBER(F35),ISNUMBER(G35)),F35*G35/1000000,"")</f>
        <v/>
      </c>
      <c r="N35" s="27">
        <f>IF(M35="","",M35*IF(ISNUMBER(L35),L35,1))</f>
        <v/>
      </c>
      <c r="O35" s="32">
        <f>IF(COUNTA(A35:L35)=0,"",IF(OR(NOT(ISNUMBER(F35)),NOT(ISNUMBER(G35))),"⚠ Largeur ou hauteur manquante",IF(C35="","⚠ Façade manquante",IF(AND(OR(E35="Fenêtre",E35="Châssis fixe"),NOT(ISNUMBER(H35))),"⚠ Hauteur d'allège manquante",IF(AND(E35&lt;&gt;"Fenêtre de toit",IF($B35="R+1",N(Projet!$B$61),N(Projet!$B$60))&gt;0,N(H35)+G35&gt;IF($B35="R+1",N(Projet!$B$61),N(Projet!$B$60))*1000),"⚠ Dépasse la hauteur sous plafond",IF(J35="","⚠ Préciser tableau / hors tout","OK"))))))</f>
        <v/>
      </c>
    </row>
    <row r="36">
      <c r="A36" s="30" t="n"/>
      <c r="B36" s="30" t="n"/>
      <c r="C36" s="30" t="n"/>
      <c r="D36" s="30" t="n"/>
      <c r="E36" s="30" t="n"/>
      <c r="F36" s="31" t="n"/>
      <c r="G36" s="31" t="n"/>
      <c r="H36" s="31" t="n"/>
      <c r="I36" s="31" t="n"/>
      <c r="J36" s="30" t="n"/>
      <c r="K36" s="30" t="n"/>
      <c r="L36" s="30" t="n"/>
      <c r="M36" s="27">
        <f>IF(AND(ISNUMBER(F36),ISNUMBER(G36)),F36*G36/1000000,"")</f>
        <v/>
      </c>
      <c r="N36" s="27">
        <f>IF(M36="","",M36*IF(ISNUMBER(L36),L36,1))</f>
        <v/>
      </c>
      <c r="O36" s="32">
        <f>IF(COUNTA(A36:L36)=0,"",IF(OR(NOT(ISNUMBER(F36)),NOT(ISNUMBER(G36))),"⚠ Largeur ou hauteur manquante",IF(C36="","⚠ Façade manquante",IF(AND(OR(E36="Fenêtre",E36="Châssis fixe"),NOT(ISNUMBER(H36))),"⚠ Hauteur d'allège manquante",IF(AND(E36&lt;&gt;"Fenêtre de toit",IF($B36="R+1",N(Projet!$B$61),N(Projet!$B$60))&gt;0,N(H36)+G36&gt;IF($B36="R+1",N(Projet!$B$61),N(Projet!$B$60))*1000),"⚠ Dépasse la hauteur sous plafond",IF(J36="","⚠ Préciser tableau / hors tout","OK"))))))</f>
        <v/>
      </c>
    </row>
    <row r="37">
      <c r="A37" s="30" t="n"/>
      <c r="B37" s="30" t="n"/>
      <c r="C37" s="30" t="n"/>
      <c r="D37" s="30" t="n"/>
      <c r="E37" s="30" t="n"/>
      <c r="F37" s="31" t="n"/>
      <c r="G37" s="31" t="n"/>
      <c r="H37" s="31" t="n"/>
      <c r="I37" s="31" t="n"/>
      <c r="J37" s="30" t="n"/>
      <c r="K37" s="30" t="n"/>
      <c r="L37" s="30" t="n"/>
      <c r="M37" s="27">
        <f>IF(AND(ISNUMBER(F37),ISNUMBER(G37)),F37*G37/1000000,"")</f>
        <v/>
      </c>
      <c r="N37" s="27">
        <f>IF(M37="","",M37*IF(ISNUMBER(L37),L37,1))</f>
        <v/>
      </c>
      <c r="O37" s="32">
        <f>IF(COUNTA(A37:L37)=0,"",IF(OR(NOT(ISNUMBER(F37)),NOT(ISNUMBER(G37))),"⚠ Largeur ou hauteur manquante",IF(C37="","⚠ Façade manquante",IF(AND(OR(E37="Fenêtre",E37="Châssis fixe"),NOT(ISNUMBER(H37))),"⚠ Hauteur d'allège manquante",IF(AND(E37&lt;&gt;"Fenêtre de toit",IF($B37="R+1",N(Projet!$B$61),N(Projet!$B$60))&gt;0,N(H37)+G37&gt;IF($B37="R+1",N(Projet!$B$61),N(Projet!$B$60))*1000),"⚠ Dépasse la hauteur sous plafond",IF(J37="","⚠ Préciser tableau / hors tout","OK"))))))</f>
        <v/>
      </c>
    </row>
    <row r="38">
      <c r="A38" s="30" t="n"/>
      <c r="B38" s="30" t="n"/>
      <c r="C38" s="30" t="n"/>
      <c r="D38" s="30" t="n"/>
      <c r="E38" s="30" t="n"/>
      <c r="F38" s="31" t="n"/>
      <c r="G38" s="31" t="n"/>
      <c r="H38" s="31" t="n"/>
      <c r="I38" s="31" t="n"/>
      <c r="J38" s="30" t="n"/>
      <c r="K38" s="30" t="n"/>
      <c r="L38" s="30" t="n"/>
      <c r="M38" s="27">
        <f>IF(AND(ISNUMBER(F38),ISNUMBER(G38)),F38*G38/1000000,"")</f>
        <v/>
      </c>
      <c r="N38" s="27">
        <f>IF(M38="","",M38*IF(ISNUMBER(L38),L38,1))</f>
        <v/>
      </c>
      <c r="O38" s="32">
        <f>IF(COUNTA(A38:L38)=0,"",IF(OR(NOT(ISNUMBER(F38)),NOT(ISNUMBER(G38))),"⚠ Largeur ou hauteur manquante",IF(C38="","⚠ Façade manquante",IF(AND(OR(E38="Fenêtre",E38="Châssis fixe"),NOT(ISNUMBER(H38))),"⚠ Hauteur d'allège manquante",IF(AND(E38&lt;&gt;"Fenêtre de toit",IF($B38="R+1",N(Projet!$B$61),N(Projet!$B$60))&gt;0,N(H38)+G38&gt;IF($B38="R+1",N(Projet!$B$61),N(Projet!$B$60))*1000),"⚠ Dépasse la hauteur sous plafond",IF(J38="","⚠ Préciser tableau / hors tout","OK"))))))</f>
        <v/>
      </c>
    </row>
    <row r="39">
      <c r="A39" s="30" t="n"/>
      <c r="B39" s="30" t="n"/>
      <c r="C39" s="30" t="n"/>
      <c r="D39" s="30" t="n"/>
      <c r="E39" s="30" t="n"/>
      <c r="F39" s="31" t="n"/>
      <c r="G39" s="31" t="n"/>
      <c r="H39" s="31" t="n"/>
      <c r="I39" s="31" t="n"/>
      <c r="J39" s="30" t="n"/>
      <c r="K39" s="30" t="n"/>
      <c r="L39" s="30" t="n"/>
      <c r="M39" s="27">
        <f>IF(AND(ISNUMBER(F39),ISNUMBER(G39)),F39*G39/1000000,"")</f>
        <v/>
      </c>
      <c r="N39" s="27">
        <f>IF(M39="","",M39*IF(ISNUMBER(L39),L39,1))</f>
        <v/>
      </c>
      <c r="O39" s="32">
        <f>IF(COUNTA(A39:L39)=0,"",IF(OR(NOT(ISNUMBER(F39)),NOT(ISNUMBER(G39))),"⚠ Largeur ou hauteur manquante",IF(C39="","⚠ Façade manquante",IF(AND(OR(E39="Fenêtre",E39="Châssis fixe"),NOT(ISNUMBER(H39))),"⚠ Hauteur d'allège manquante",IF(AND(E39&lt;&gt;"Fenêtre de toit",IF($B39="R+1",N(Projet!$B$61),N(Projet!$B$60))&gt;0,N(H39)+G39&gt;IF($B39="R+1",N(Projet!$B$61),N(Projet!$B$60))*1000),"⚠ Dépasse la hauteur sous plafond",IF(J39="","⚠ Préciser tableau / hors tout","OK"))))))</f>
        <v/>
      </c>
    </row>
    <row r="40">
      <c r="A40" s="30" t="n"/>
      <c r="B40" s="30" t="n"/>
      <c r="C40" s="30" t="n"/>
      <c r="D40" s="30" t="n"/>
      <c r="E40" s="30" t="n"/>
      <c r="F40" s="31" t="n"/>
      <c r="G40" s="31" t="n"/>
      <c r="H40" s="31" t="n"/>
      <c r="I40" s="31" t="n"/>
      <c r="J40" s="30" t="n"/>
      <c r="K40" s="30" t="n"/>
      <c r="L40" s="30" t="n"/>
      <c r="M40" s="27">
        <f>IF(AND(ISNUMBER(F40),ISNUMBER(G40)),F40*G40/1000000,"")</f>
        <v/>
      </c>
      <c r="N40" s="27">
        <f>IF(M40="","",M40*IF(ISNUMBER(L40),L40,1))</f>
        <v/>
      </c>
      <c r="O40" s="32">
        <f>IF(COUNTA(A40:L40)=0,"",IF(OR(NOT(ISNUMBER(F40)),NOT(ISNUMBER(G40))),"⚠ Largeur ou hauteur manquante",IF(C40="","⚠ Façade manquante",IF(AND(OR(E40="Fenêtre",E40="Châssis fixe"),NOT(ISNUMBER(H40))),"⚠ Hauteur d'allège manquante",IF(AND(E40&lt;&gt;"Fenêtre de toit",IF($B40="R+1",N(Projet!$B$61),N(Projet!$B$60))&gt;0,N(H40)+G40&gt;IF($B40="R+1",N(Projet!$B$61),N(Projet!$B$60))*1000),"⚠ Dépasse la hauteur sous plafond",IF(J40="","⚠ Préciser tableau / hors tout","OK"))))))</f>
        <v/>
      </c>
    </row>
    <row r="41">
      <c r="A41" s="30" t="n"/>
      <c r="B41" s="30" t="n"/>
      <c r="C41" s="30" t="n"/>
      <c r="D41" s="30" t="n"/>
      <c r="E41" s="30" t="n"/>
      <c r="F41" s="31" t="n"/>
      <c r="G41" s="31" t="n"/>
      <c r="H41" s="31" t="n"/>
      <c r="I41" s="31" t="n"/>
      <c r="J41" s="30" t="n"/>
      <c r="K41" s="30" t="n"/>
      <c r="L41" s="30" t="n"/>
      <c r="M41" s="27">
        <f>IF(AND(ISNUMBER(F41),ISNUMBER(G41)),F41*G41/1000000,"")</f>
        <v/>
      </c>
      <c r="N41" s="27">
        <f>IF(M41="","",M41*IF(ISNUMBER(L41),L41,1))</f>
        <v/>
      </c>
      <c r="O41" s="32">
        <f>IF(COUNTA(A41:L41)=0,"",IF(OR(NOT(ISNUMBER(F41)),NOT(ISNUMBER(G41))),"⚠ Largeur ou hauteur manquante",IF(C41="","⚠ Façade manquante",IF(AND(OR(E41="Fenêtre",E41="Châssis fixe"),NOT(ISNUMBER(H41))),"⚠ Hauteur d'allège manquante",IF(AND(E41&lt;&gt;"Fenêtre de toit",IF($B41="R+1",N(Projet!$B$61),N(Projet!$B$60))&gt;0,N(H41)+G41&gt;IF($B41="R+1",N(Projet!$B$61),N(Projet!$B$60))*1000),"⚠ Dépasse la hauteur sous plafond",IF(J41="","⚠ Préciser tableau / hors tout","OK"))))))</f>
        <v/>
      </c>
    </row>
    <row r="42">
      <c r="A42" s="30" t="n"/>
      <c r="B42" s="30" t="n"/>
      <c r="C42" s="30" t="n"/>
      <c r="D42" s="30" t="n"/>
      <c r="E42" s="30" t="n"/>
      <c r="F42" s="31" t="n"/>
      <c r="G42" s="31" t="n"/>
      <c r="H42" s="31" t="n"/>
      <c r="I42" s="31" t="n"/>
      <c r="J42" s="30" t="n"/>
      <c r="K42" s="30" t="n"/>
      <c r="L42" s="30" t="n"/>
      <c r="M42" s="27">
        <f>IF(AND(ISNUMBER(F42),ISNUMBER(G42)),F42*G42/1000000,"")</f>
        <v/>
      </c>
      <c r="N42" s="27">
        <f>IF(M42="","",M42*IF(ISNUMBER(L42),L42,1))</f>
        <v/>
      </c>
      <c r="O42" s="32">
        <f>IF(COUNTA(A42:L42)=0,"",IF(OR(NOT(ISNUMBER(F42)),NOT(ISNUMBER(G42))),"⚠ Largeur ou hauteur manquante",IF(C42="","⚠ Façade manquante",IF(AND(OR(E42="Fenêtre",E42="Châssis fixe"),NOT(ISNUMBER(H42))),"⚠ Hauteur d'allège manquante",IF(AND(E42&lt;&gt;"Fenêtre de toit",IF($B42="R+1",N(Projet!$B$61),N(Projet!$B$60))&gt;0,N(H42)+G42&gt;IF($B42="R+1",N(Projet!$B$61),N(Projet!$B$60))*1000),"⚠ Dépasse la hauteur sous plafond",IF(J42="","⚠ Préciser tableau / hors tout","OK"))))))</f>
        <v/>
      </c>
    </row>
    <row r="43">
      <c r="A43" s="30" t="n"/>
      <c r="B43" s="30" t="n"/>
      <c r="C43" s="30" t="n"/>
      <c r="D43" s="30" t="n"/>
      <c r="E43" s="30" t="n"/>
      <c r="F43" s="31" t="n"/>
      <c r="G43" s="31" t="n"/>
      <c r="H43" s="31" t="n"/>
      <c r="I43" s="31" t="n"/>
      <c r="J43" s="30" t="n"/>
      <c r="K43" s="30" t="n"/>
      <c r="L43" s="30" t="n"/>
      <c r="M43" s="27">
        <f>IF(AND(ISNUMBER(F43),ISNUMBER(G43)),F43*G43/1000000,"")</f>
        <v/>
      </c>
      <c r="N43" s="27">
        <f>IF(M43="","",M43*IF(ISNUMBER(L43),L43,1))</f>
        <v/>
      </c>
      <c r="O43" s="32">
        <f>IF(COUNTA(A43:L43)=0,"",IF(OR(NOT(ISNUMBER(F43)),NOT(ISNUMBER(G43))),"⚠ Largeur ou hauteur manquante",IF(C43="","⚠ Façade manquante",IF(AND(OR(E43="Fenêtre",E43="Châssis fixe"),NOT(ISNUMBER(H43))),"⚠ Hauteur d'allège manquante",IF(AND(E43&lt;&gt;"Fenêtre de toit",IF($B43="R+1",N(Projet!$B$61),N(Projet!$B$60))&gt;0,N(H43)+G43&gt;IF($B43="R+1",N(Projet!$B$61),N(Projet!$B$60))*1000),"⚠ Dépasse la hauteur sous plafond",IF(J43="","⚠ Préciser tableau / hors tout","OK"))))))</f>
        <v/>
      </c>
    </row>
    <row r="44">
      <c r="A44" s="30" t="n"/>
      <c r="B44" s="30" t="n"/>
      <c r="C44" s="30" t="n"/>
      <c r="D44" s="30" t="n"/>
      <c r="E44" s="30" t="n"/>
      <c r="F44" s="31" t="n"/>
      <c r="G44" s="31" t="n"/>
      <c r="H44" s="31" t="n"/>
      <c r="I44" s="31" t="n"/>
      <c r="J44" s="30" t="n"/>
      <c r="K44" s="30" t="n"/>
      <c r="L44" s="30" t="n"/>
      <c r="M44" s="27">
        <f>IF(AND(ISNUMBER(F44),ISNUMBER(G44)),F44*G44/1000000,"")</f>
        <v/>
      </c>
      <c r="N44" s="27">
        <f>IF(M44="","",M44*IF(ISNUMBER(L44),L44,1))</f>
        <v/>
      </c>
      <c r="O44" s="32">
        <f>IF(COUNTA(A44:L44)=0,"",IF(OR(NOT(ISNUMBER(F44)),NOT(ISNUMBER(G44))),"⚠ Largeur ou hauteur manquante",IF(C44="","⚠ Façade manquante",IF(AND(OR(E44="Fenêtre",E44="Châssis fixe"),NOT(ISNUMBER(H44))),"⚠ Hauteur d'allège manquante",IF(AND(E44&lt;&gt;"Fenêtre de toit",IF($B44="R+1",N(Projet!$B$61),N(Projet!$B$60))&gt;0,N(H44)+G44&gt;IF($B44="R+1",N(Projet!$B$61),N(Projet!$B$60))*1000),"⚠ Dépasse la hauteur sous plafond",IF(J44="","⚠ Préciser tableau / hors tout","OK"))))))</f>
        <v/>
      </c>
    </row>
    <row r="45">
      <c r="A45" s="30" t="n"/>
      <c r="B45" s="30" t="n"/>
      <c r="C45" s="30" t="n"/>
      <c r="D45" s="30" t="n"/>
      <c r="E45" s="30" t="n"/>
      <c r="F45" s="31" t="n"/>
      <c r="G45" s="31" t="n"/>
      <c r="H45" s="31" t="n"/>
      <c r="I45" s="31" t="n"/>
      <c r="J45" s="30" t="n"/>
      <c r="K45" s="30" t="n"/>
      <c r="L45" s="30" t="n"/>
      <c r="M45" s="27">
        <f>IF(AND(ISNUMBER(F45),ISNUMBER(G45)),F45*G45/1000000,"")</f>
        <v/>
      </c>
      <c r="N45" s="27">
        <f>IF(M45="","",M45*IF(ISNUMBER(L45),L45,1))</f>
        <v/>
      </c>
      <c r="O45" s="32">
        <f>IF(COUNTA(A45:L45)=0,"",IF(OR(NOT(ISNUMBER(F45)),NOT(ISNUMBER(G45))),"⚠ Largeur ou hauteur manquante",IF(C45="","⚠ Façade manquante",IF(AND(OR(E45="Fenêtre",E45="Châssis fixe"),NOT(ISNUMBER(H45))),"⚠ Hauteur d'allège manquante",IF(AND(E45&lt;&gt;"Fenêtre de toit",IF($B45="R+1",N(Projet!$B$61),N(Projet!$B$60))&gt;0,N(H45)+G45&gt;IF($B45="R+1",N(Projet!$B$61),N(Projet!$B$60))*1000),"⚠ Dépasse la hauteur sous plafond",IF(J45="","⚠ Préciser tableau / hors tout","OK"))))))</f>
        <v/>
      </c>
    </row>
    <row r="46">
      <c r="A46" s="30" t="n"/>
      <c r="B46" s="30" t="n"/>
      <c r="C46" s="30" t="n"/>
      <c r="D46" s="30" t="n"/>
      <c r="E46" s="30" t="n"/>
      <c r="F46" s="31" t="n"/>
      <c r="G46" s="31" t="n"/>
      <c r="H46" s="31" t="n"/>
      <c r="I46" s="31" t="n"/>
      <c r="J46" s="30" t="n"/>
      <c r="K46" s="30" t="n"/>
      <c r="L46" s="30" t="n"/>
      <c r="M46" s="27">
        <f>IF(AND(ISNUMBER(F46),ISNUMBER(G46)),F46*G46/1000000,"")</f>
        <v/>
      </c>
      <c r="N46" s="27">
        <f>IF(M46="","",M46*IF(ISNUMBER(L46),L46,1))</f>
        <v/>
      </c>
      <c r="O46" s="32">
        <f>IF(COUNTA(A46:L46)=0,"",IF(OR(NOT(ISNUMBER(F46)),NOT(ISNUMBER(G46))),"⚠ Largeur ou hauteur manquante",IF(C46="","⚠ Façade manquante",IF(AND(OR(E46="Fenêtre",E46="Châssis fixe"),NOT(ISNUMBER(H46))),"⚠ Hauteur d'allège manquante",IF(AND(E46&lt;&gt;"Fenêtre de toit",IF($B46="R+1",N(Projet!$B$61),N(Projet!$B$60))&gt;0,N(H46)+G46&gt;IF($B46="R+1",N(Projet!$B$61),N(Projet!$B$60))*1000),"⚠ Dépasse la hauteur sous plafond",IF(J46="","⚠ Préciser tableau / hors tout","OK"))))))</f>
        <v/>
      </c>
    </row>
    <row r="47">
      <c r="A47" s="30" t="n"/>
      <c r="B47" s="30" t="n"/>
      <c r="C47" s="30" t="n"/>
      <c r="D47" s="30" t="n"/>
      <c r="E47" s="30" t="n"/>
      <c r="F47" s="31" t="n"/>
      <c r="G47" s="31" t="n"/>
      <c r="H47" s="31" t="n"/>
      <c r="I47" s="31" t="n"/>
      <c r="J47" s="30" t="n"/>
      <c r="K47" s="30" t="n"/>
      <c r="L47" s="30" t="n"/>
      <c r="M47" s="27">
        <f>IF(AND(ISNUMBER(F47),ISNUMBER(G47)),F47*G47/1000000,"")</f>
        <v/>
      </c>
      <c r="N47" s="27">
        <f>IF(M47="","",M47*IF(ISNUMBER(L47),L47,1))</f>
        <v/>
      </c>
      <c r="O47" s="32">
        <f>IF(COUNTA(A47:L47)=0,"",IF(OR(NOT(ISNUMBER(F47)),NOT(ISNUMBER(G47))),"⚠ Largeur ou hauteur manquante",IF(C47="","⚠ Façade manquante",IF(AND(OR(E47="Fenêtre",E47="Châssis fixe"),NOT(ISNUMBER(H47))),"⚠ Hauteur d'allège manquante",IF(AND(E47&lt;&gt;"Fenêtre de toit",IF($B47="R+1",N(Projet!$B$61),N(Projet!$B$60))&gt;0,N(H47)+G47&gt;IF($B47="R+1",N(Projet!$B$61),N(Projet!$B$60))*1000),"⚠ Dépasse la hauteur sous plafond",IF(J47="","⚠ Préciser tableau / hors tout","OK"))))))</f>
        <v/>
      </c>
    </row>
    <row r="48">
      <c r="A48" s="30" t="n"/>
      <c r="B48" s="30" t="n"/>
      <c r="C48" s="30" t="n"/>
      <c r="D48" s="30" t="n"/>
      <c r="E48" s="30" t="n"/>
      <c r="F48" s="31" t="n"/>
      <c r="G48" s="31" t="n"/>
      <c r="H48" s="31" t="n"/>
      <c r="I48" s="31" t="n"/>
      <c r="J48" s="30" t="n"/>
      <c r="K48" s="30" t="n"/>
      <c r="L48" s="30" t="n"/>
      <c r="M48" s="27">
        <f>IF(AND(ISNUMBER(F48),ISNUMBER(G48)),F48*G48/1000000,"")</f>
        <v/>
      </c>
      <c r="N48" s="27">
        <f>IF(M48="","",M48*IF(ISNUMBER(L48),L48,1))</f>
        <v/>
      </c>
      <c r="O48" s="32">
        <f>IF(COUNTA(A48:L48)=0,"",IF(OR(NOT(ISNUMBER(F48)),NOT(ISNUMBER(G48))),"⚠ Largeur ou hauteur manquante",IF(C48="","⚠ Façade manquante",IF(AND(OR(E48="Fenêtre",E48="Châssis fixe"),NOT(ISNUMBER(H48))),"⚠ Hauteur d'allège manquante",IF(AND(E48&lt;&gt;"Fenêtre de toit",IF($B48="R+1",N(Projet!$B$61),N(Projet!$B$60))&gt;0,N(H48)+G48&gt;IF($B48="R+1",N(Projet!$B$61),N(Projet!$B$60))*1000),"⚠ Dépasse la hauteur sous plafond",IF(J48="","⚠ Préciser tableau / hors tout","OK"))))))</f>
        <v/>
      </c>
    </row>
    <row r="49">
      <c r="A49" s="30" t="n"/>
      <c r="B49" s="30" t="n"/>
      <c r="C49" s="30" t="n"/>
      <c r="D49" s="30" t="n"/>
      <c r="E49" s="30" t="n"/>
      <c r="F49" s="31" t="n"/>
      <c r="G49" s="31" t="n"/>
      <c r="H49" s="31" t="n"/>
      <c r="I49" s="31" t="n"/>
      <c r="J49" s="30" t="n"/>
      <c r="K49" s="30" t="n"/>
      <c r="L49" s="30" t="n"/>
      <c r="M49" s="27">
        <f>IF(AND(ISNUMBER(F49),ISNUMBER(G49)),F49*G49/1000000,"")</f>
        <v/>
      </c>
      <c r="N49" s="27">
        <f>IF(M49="","",M49*IF(ISNUMBER(L49),L49,1))</f>
        <v/>
      </c>
      <c r="O49" s="32">
        <f>IF(COUNTA(A49:L49)=0,"",IF(OR(NOT(ISNUMBER(F49)),NOT(ISNUMBER(G49))),"⚠ Largeur ou hauteur manquante",IF(C49="","⚠ Façade manquante",IF(AND(OR(E49="Fenêtre",E49="Châssis fixe"),NOT(ISNUMBER(H49))),"⚠ Hauteur d'allège manquante",IF(AND(E49&lt;&gt;"Fenêtre de toit",IF($B49="R+1",N(Projet!$B$61),N(Projet!$B$60))&gt;0,N(H49)+G49&gt;IF($B49="R+1",N(Projet!$B$61),N(Projet!$B$60))*1000),"⚠ Dépasse la hauteur sous plafond",IF(J49="","⚠ Préciser tableau / hors tout","OK"))))))</f>
        <v/>
      </c>
    </row>
    <row r="50">
      <c r="A50" s="30" t="n"/>
      <c r="B50" s="30" t="n"/>
      <c r="C50" s="30" t="n"/>
      <c r="D50" s="30" t="n"/>
      <c r="E50" s="30" t="n"/>
      <c r="F50" s="31" t="n"/>
      <c r="G50" s="31" t="n"/>
      <c r="H50" s="31" t="n"/>
      <c r="I50" s="31" t="n"/>
      <c r="J50" s="30" t="n"/>
      <c r="K50" s="30" t="n"/>
      <c r="L50" s="30" t="n"/>
      <c r="M50" s="27">
        <f>IF(AND(ISNUMBER(F50),ISNUMBER(G50)),F50*G50/1000000,"")</f>
        <v/>
      </c>
      <c r="N50" s="27">
        <f>IF(M50="","",M50*IF(ISNUMBER(L50),L50,1))</f>
        <v/>
      </c>
      <c r="O50" s="32">
        <f>IF(COUNTA(A50:L50)=0,"",IF(OR(NOT(ISNUMBER(F50)),NOT(ISNUMBER(G50))),"⚠ Largeur ou hauteur manquante",IF(C50="","⚠ Façade manquante",IF(AND(OR(E50="Fenêtre",E50="Châssis fixe"),NOT(ISNUMBER(H50))),"⚠ Hauteur d'allège manquante",IF(AND(E50&lt;&gt;"Fenêtre de toit",IF($B50="R+1",N(Projet!$B$61),N(Projet!$B$60))&gt;0,N(H50)+G50&gt;IF($B50="R+1",N(Projet!$B$61),N(Projet!$B$60))*1000),"⚠ Dépasse la hauteur sous plafond",IF(J50="","⚠ Préciser tableau / hors tout","OK"))))))</f>
        <v/>
      </c>
    </row>
    <row r="51">
      <c r="A51" s="30" t="n"/>
      <c r="B51" s="30" t="n"/>
      <c r="C51" s="30" t="n"/>
      <c r="D51" s="30" t="n"/>
      <c r="E51" s="30" t="n"/>
      <c r="F51" s="31" t="n"/>
      <c r="G51" s="31" t="n"/>
      <c r="H51" s="31" t="n"/>
      <c r="I51" s="31" t="n"/>
      <c r="J51" s="30" t="n"/>
      <c r="K51" s="30" t="n"/>
      <c r="L51" s="30" t="n"/>
      <c r="M51" s="27">
        <f>IF(AND(ISNUMBER(F51),ISNUMBER(G51)),F51*G51/1000000,"")</f>
        <v/>
      </c>
      <c r="N51" s="27">
        <f>IF(M51="","",M51*IF(ISNUMBER(L51),L51,1))</f>
        <v/>
      </c>
      <c r="O51" s="32">
        <f>IF(COUNTA(A51:L51)=0,"",IF(OR(NOT(ISNUMBER(F51)),NOT(ISNUMBER(G51))),"⚠ Largeur ou hauteur manquante",IF(C51="","⚠ Façade manquante",IF(AND(OR(E51="Fenêtre",E51="Châssis fixe"),NOT(ISNUMBER(H51))),"⚠ Hauteur d'allège manquante",IF(AND(E51&lt;&gt;"Fenêtre de toit",IF($B51="R+1",N(Projet!$B$61),N(Projet!$B$60))&gt;0,N(H51)+G51&gt;IF($B51="R+1",N(Projet!$B$61),N(Projet!$B$60))*1000),"⚠ Dépasse la hauteur sous plafond",IF(J51="","⚠ Préciser tableau / hors tout","OK"))))))</f>
        <v/>
      </c>
    </row>
    <row r="52">
      <c r="A52" s="30" t="n"/>
      <c r="B52" s="30" t="n"/>
      <c r="C52" s="30" t="n"/>
      <c r="D52" s="30" t="n"/>
      <c r="E52" s="30" t="n"/>
      <c r="F52" s="31" t="n"/>
      <c r="G52" s="31" t="n"/>
      <c r="H52" s="31" t="n"/>
      <c r="I52" s="31" t="n"/>
      <c r="J52" s="30" t="n"/>
      <c r="K52" s="30" t="n"/>
      <c r="L52" s="30" t="n"/>
      <c r="M52" s="27">
        <f>IF(AND(ISNUMBER(F52),ISNUMBER(G52)),F52*G52/1000000,"")</f>
        <v/>
      </c>
      <c r="N52" s="27">
        <f>IF(M52="","",M52*IF(ISNUMBER(L52),L52,1))</f>
        <v/>
      </c>
      <c r="O52" s="32">
        <f>IF(COUNTA(A52:L52)=0,"",IF(OR(NOT(ISNUMBER(F52)),NOT(ISNUMBER(G52))),"⚠ Largeur ou hauteur manquante",IF(C52="","⚠ Façade manquante",IF(AND(OR(E52="Fenêtre",E52="Châssis fixe"),NOT(ISNUMBER(H52))),"⚠ Hauteur d'allège manquante",IF(AND(E52&lt;&gt;"Fenêtre de toit",IF($B52="R+1",N(Projet!$B$61),N(Projet!$B$60))&gt;0,N(H52)+G52&gt;IF($B52="R+1",N(Projet!$B$61),N(Projet!$B$60))*1000),"⚠ Dépasse la hauteur sous plafond",IF(J52="","⚠ Préciser tableau / hors tout","OK"))))))</f>
        <v/>
      </c>
    </row>
    <row r="53">
      <c r="A53" s="30" t="n"/>
      <c r="B53" s="30" t="n"/>
      <c r="C53" s="30" t="n"/>
      <c r="D53" s="30" t="n"/>
      <c r="E53" s="30" t="n"/>
      <c r="F53" s="31" t="n"/>
      <c r="G53" s="31" t="n"/>
      <c r="H53" s="31" t="n"/>
      <c r="I53" s="31" t="n"/>
      <c r="J53" s="30" t="n"/>
      <c r="K53" s="30" t="n"/>
      <c r="L53" s="30" t="n"/>
      <c r="M53" s="27">
        <f>IF(AND(ISNUMBER(F53),ISNUMBER(G53)),F53*G53/1000000,"")</f>
        <v/>
      </c>
      <c r="N53" s="27">
        <f>IF(M53="","",M53*IF(ISNUMBER(L53),L53,1))</f>
        <v/>
      </c>
      <c r="O53" s="32">
        <f>IF(COUNTA(A53:L53)=0,"",IF(OR(NOT(ISNUMBER(F53)),NOT(ISNUMBER(G53))),"⚠ Largeur ou hauteur manquante",IF(C53="","⚠ Façade manquante",IF(AND(OR(E53="Fenêtre",E53="Châssis fixe"),NOT(ISNUMBER(H53))),"⚠ Hauteur d'allège manquante",IF(AND(E53&lt;&gt;"Fenêtre de toit",IF($B53="R+1",N(Projet!$B$61),N(Projet!$B$60))&gt;0,N(H53)+G53&gt;IF($B53="R+1",N(Projet!$B$61),N(Projet!$B$60))*1000),"⚠ Dépasse la hauteur sous plafond",IF(J53="","⚠ Préciser tableau / hors tout","OK"))))))</f>
        <v/>
      </c>
    </row>
    <row r="54">
      <c r="A54" s="30" t="n"/>
      <c r="B54" s="30" t="n"/>
      <c r="C54" s="30" t="n"/>
      <c r="D54" s="30" t="n"/>
      <c r="E54" s="30" t="n"/>
      <c r="F54" s="31" t="n"/>
      <c r="G54" s="31" t="n"/>
      <c r="H54" s="31" t="n"/>
      <c r="I54" s="31" t="n"/>
      <c r="J54" s="30" t="n"/>
      <c r="K54" s="30" t="n"/>
      <c r="L54" s="30" t="n"/>
      <c r="M54" s="27">
        <f>IF(AND(ISNUMBER(F54),ISNUMBER(G54)),F54*G54/1000000,"")</f>
        <v/>
      </c>
      <c r="N54" s="27">
        <f>IF(M54="","",M54*IF(ISNUMBER(L54),L54,1))</f>
        <v/>
      </c>
      <c r="O54" s="32">
        <f>IF(COUNTA(A54:L54)=0,"",IF(OR(NOT(ISNUMBER(F54)),NOT(ISNUMBER(G54))),"⚠ Largeur ou hauteur manquante",IF(C54="","⚠ Façade manquante",IF(AND(OR(E54="Fenêtre",E54="Châssis fixe"),NOT(ISNUMBER(H54))),"⚠ Hauteur d'allège manquante",IF(AND(E54&lt;&gt;"Fenêtre de toit",IF($B54="R+1",N(Projet!$B$61),N(Projet!$B$60))&gt;0,N(H54)+G54&gt;IF($B54="R+1",N(Projet!$B$61),N(Projet!$B$60))*1000),"⚠ Dépasse la hauteur sous plafond",IF(J54="","⚠ Préciser tableau / hors tout","OK"))))))</f>
        <v/>
      </c>
    </row>
    <row r="55">
      <c r="A55" s="30" t="n"/>
      <c r="B55" s="30" t="n"/>
      <c r="C55" s="30" t="n"/>
      <c r="D55" s="30" t="n"/>
      <c r="E55" s="30" t="n"/>
      <c r="F55" s="31" t="n"/>
      <c r="G55" s="31" t="n"/>
      <c r="H55" s="31" t="n"/>
      <c r="I55" s="31" t="n"/>
      <c r="J55" s="30" t="n"/>
      <c r="K55" s="30" t="n"/>
      <c r="L55" s="30" t="n"/>
      <c r="M55" s="27">
        <f>IF(AND(ISNUMBER(F55),ISNUMBER(G55)),F55*G55/1000000,"")</f>
        <v/>
      </c>
      <c r="N55" s="27">
        <f>IF(M55="","",M55*IF(ISNUMBER(L55),L55,1))</f>
        <v/>
      </c>
      <c r="O55" s="32">
        <f>IF(COUNTA(A55:L55)=0,"",IF(OR(NOT(ISNUMBER(F55)),NOT(ISNUMBER(G55))),"⚠ Largeur ou hauteur manquante",IF(C55="","⚠ Façade manquante",IF(AND(OR(E55="Fenêtre",E55="Châssis fixe"),NOT(ISNUMBER(H55))),"⚠ Hauteur d'allège manquante",IF(AND(E55&lt;&gt;"Fenêtre de toit",IF($B55="R+1",N(Projet!$B$61),N(Projet!$B$60))&gt;0,N(H55)+G55&gt;IF($B55="R+1",N(Projet!$B$61),N(Projet!$B$60))*1000),"⚠ Dépasse la hauteur sous plafond",IF(J55="","⚠ Préciser tableau / hors tout","OK"))))))</f>
        <v/>
      </c>
    </row>
    <row r="56">
      <c r="A56" s="30" t="n"/>
      <c r="B56" s="30" t="n"/>
      <c r="C56" s="30" t="n"/>
      <c r="D56" s="30" t="n"/>
      <c r="E56" s="30" t="n"/>
      <c r="F56" s="31" t="n"/>
      <c r="G56" s="31" t="n"/>
      <c r="H56" s="31" t="n"/>
      <c r="I56" s="31" t="n"/>
      <c r="J56" s="30" t="n"/>
      <c r="K56" s="30" t="n"/>
      <c r="L56" s="30" t="n"/>
      <c r="M56" s="27">
        <f>IF(AND(ISNUMBER(F56),ISNUMBER(G56)),F56*G56/1000000,"")</f>
        <v/>
      </c>
      <c r="N56" s="27">
        <f>IF(M56="","",M56*IF(ISNUMBER(L56),L56,1))</f>
        <v/>
      </c>
      <c r="O56" s="32">
        <f>IF(COUNTA(A56:L56)=0,"",IF(OR(NOT(ISNUMBER(F56)),NOT(ISNUMBER(G56))),"⚠ Largeur ou hauteur manquante",IF(C56="","⚠ Façade manquante",IF(AND(OR(E56="Fenêtre",E56="Châssis fixe"),NOT(ISNUMBER(H56))),"⚠ Hauteur d'allège manquante",IF(AND(E56&lt;&gt;"Fenêtre de toit",IF($B56="R+1",N(Projet!$B$61),N(Projet!$B$60))&gt;0,N(H56)+G56&gt;IF($B56="R+1",N(Projet!$B$61),N(Projet!$B$60))*1000),"⚠ Dépasse la hauteur sous plafond",IF(J56="","⚠ Préciser tableau / hors tout","OK"))))))</f>
        <v/>
      </c>
    </row>
    <row r="57">
      <c r="A57" s="30" t="n"/>
      <c r="B57" s="30" t="n"/>
      <c r="C57" s="30" t="n"/>
      <c r="D57" s="30" t="n"/>
      <c r="E57" s="30" t="n"/>
      <c r="F57" s="31" t="n"/>
      <c r="G57" s="31" t="n"/>
      <c r="H57" s="31" t="n"/>
      <c r="I57" s="31" t="n"/>
      <c r="J57" s="30" t="n"/>
      <c r="K57" s="30" t="n"/>
      <c r="L57" s="30" t="n"/>
      <c r="M57" s="27">
        <f>IF(AND(ISNUMBER(F57),ISNUMBER(G57)),F57*G57/1000000,"")</f>
        <v/>
      </c>
      <c r="N57" s="27">
        <f>IF(M57="","",M57*IF(ISNUMBER(L57),L57,1))</f>
        <v/>
      </c>
      <c r="O57" s="32">
        <f>IF(COUNTA(A57:L57)=0,"",IF(OR(NOT(ISNUMBER(F57)),NOT(ISNUMBER(G57))),"⚠ Largeur ou hauteur manquante",IF(C57="","⚠ Façade manquante",IF(AND(OR(E57="Fenêtre",E57="Châssis fixe"),NOT(ISNUMBER(H57))),"⚠ Hauteur d'allège manquante",IF(AND(E57&lt;&gt;"Fenêtre de toit",IF($B57="R+1",N(Projet!$B$61),N(Projet!$B$60))&gt;0,N(H57)+G57&gt;IF($B57="R+1",N(Projet!$B$61),N(Projet!$B$60))*1000),"⚠ Dépasse la hauteur sous plafond",IF(J57="","⚠ Préciser tableau / hors tout","OK"))))))</f>
        <v/>
      </c>
    </row>
    <row r="58">
      <c r="A58" s="30" t="n"/>
      <c r="B58" s="30" t="n"/>
      <c r="C58" s="30" t="n"/>
      <c r="D58" s="30" t="n"/>
      <c r="E58" s="30" t="n"/>
      <c r="F58" s="31" t="n"/>
      <c r="G58" s="31" t="n"/>
      <c r="H58" s="31" t="n"/>
      <c r="I58" s="31" t="n"/>
      <c r="J58" s="30" t="n"/>
      <c r="K58" s="30" t="n"/>
      <c r="L58" s="30" t="n"/>
      <c r="M58" s="27">
        <f>IF(AND(ISNUMBER(F58),ISNUMBER(G58)),F58*G58/1000000,"")</f>
        <v/>
      </c>
      <c r="N58" s="27">
        <f>IF(M58="","",M58*IF(ISNUMBER(L58),L58,1))</f>
        <v/>
      </c>
      <c r="O58" s="32">
        <f>IF(COUNTA(A58:L58)=0,"",IF(OR(NOT(ISNUMBER(F58)),NOT(ISNUMBER(G58))),"⚠ Largeur ou hauteur manquante",IF(C58="","⚠ Façade manquante",IF(AND(OR(E58="Fenêtre",E58="Châssis fixe"),NOT(ISNUMBER(H58))),"⚠ Hauteur d'allège manquante",IF(AND(E58&lt;&gt;"Fenêtre de toit",IF($B58="R+1",N(Projet!$B$61),N(Projet!$B$60))&gt;0,N(H58)+G58&gt;IF($B58="R+1",N(Projet!$B$61),N(Projet!$B$60))*1000),"⚠ Dépasse la hauteur sous plafond",IF(J58="","⚠ Préciser tableau / hors tout","OK"))))))</f>
        <v/>
      </c>
    </row>
    <row r="59">
      <c r="A59" s="30" t="n"/>
      <c r="B59" s="30" t="n"/>
      <c r="C59" s="30" t="n"/>
      <c r="D59" s="30" t="n"/>
      <c r="E59" s="30" t="n"/>
      <c r="F59" s="31" t="n"/>
      <c r="G59" s="31" t="n"/>
      <c r="H59" s="31" t="n"/>
      <c r="I59" s="31" t="n"/>
      <c r="J59" s="30" t="n"/>
      <c r="K59" s="30" t="n"/>
      <c r="L59" s="30" t="n"/>
      <c r="M59" s="27">
        <f>IF(AND(ISNUMBER(F59),ISNUMBER(G59)),F59*G59/1000000,"")</f>
        <v/>
      </c>
      <c r="N59" s="27">
        <f>IF(M59="","",M59*IF(ISNUMBER(L59),L59,1))</f>
        <v/>
      </c>
      <c r="O59" s="32">
        <f>IF(COUNTA(A59:L59)=0,"",IF(OR(NOT(ISNUMBER(F59)),NOT(ISNUMBER(G59))),"⚠ Largeur ou hauteur manquante",IF(C59="","⚠ Façade manquante",IF(AND(OR(E59="Fenêtre",E59="Châssis fixe"),NOT(ISNUMBER(H59))),"⚠ Hauteur d'allège manquante",IF(AND(E59&lt;&gt;"Fenêtre de toit",IF($B59="R+1",N(Projet!$B$61),N(Projet!$B$60))&gt;0,N(H59)+G59&gt;IF($B59="R+1",N(Projet!$B$61),N(Projet!$B$60))*1000),"⚠ Dépasse la hauteur sous plafond",IF(J59="","⚠ Préciser tableau / hors tout","OK"))))))</f>
        <v/>
      </c>
    </row>
    <row r="60">
      <c r="A60" s="30" t="n"/>
      <c r="B60" s="30" t="n"/>
      <c r="C60" s="30" t="n"/>
      <c r="D60" s="30" t="n"/>
      <c r="E60" s="30" t="n"/>
      <c r="F60" s="31" t="n"/>
      <c r="G60" s="31" t="n"/>
      <c r="H60" s="31" t="n"/>
      <c r="I60" s="31" t="n"/>
      <c r="J60" s="30" t="n"/>
      <c r="K60" s="30" t="n"/>
      <c r="L60" s="30" t="n"/>
      <c r="M60" s="27">
        <f>IF(AND(ISNUMBER(F60),ISNUMBER(G60)),F60*G60/1000000,"")</f>
        <v/>
      </c>
      <c r="N60" s="27">
        <f>IF(M60="","",M60*IF(ISNUMBER(L60),L60,1))</f>
        <v/>
      </c>
      <c r="O60" s="32">
        <f>IF(COUNTA(A60:L60)=0,"",IF(OR(NOT(ISNUMBER(F60)),NOT(ISNUMBER(G60))),"⚠ Largeur ou hauteur manquante",IF(C60="","⚠ Façade manquante",IF(AND(OR(E60="Fenêtre",E60="Châssis fixe"),NOT(ISNUMBER(H60))),"⚠ Hauteur d'allège manquante",IF(AND(E60&lt;&gt;"Fenêtre de toit",IF($B60="R+1",N(Projet!$B$61),N(Projet!$B$60))&gt;0,N(H60)+G60&gt;IF($B60="R+1",N(Projet!$B$61),N(Projet!$B$60))*1000),"⚠ Dépasse la hauteur sous plafond",IF(J60="","⚠ Préciser tableau / hors tout","OK"))))))</f>
        <v/>
      </c>
    </row>
    <row r="61">
      <c r="A61" s="30" t="n"/>
      <c r="B61" s="30" t="n"/>
      <c r="C61" s="30" t="n"/>
      <c r="D61" s="30" t="n"/>
      <c r="E61" s="30" t="n"/>
      <c r="F61" s="31" t="n"/>
      <c r="G61" s="31" t="n"/>
      <c r="H61" s="31" t="n"/>
      <c r="I61" s="31" t="n"/>
      <c r="J61" s="30" t="n"/>
      <c r="K61" s="30" t="n"/>
      <c r="L61" s="30" t="n"/>
      <c r="M61" s="27">
        <f>IF(AND(ISNUMBER(F61),ISNUMBER(G61)),F61*G61/1000000,"")</f>
        <v/>
      </c>
      <c r="N61" s="27">
        <f>IF(M61="","",M61*IF(ISNUMBER(L61),L61,1))</f>
        <v/>
      </c>
      <c r="O61" s="32">
        <f>IF(COUNTA(A61:L61)=0,"",IF(OR(NOT(ISNUMBER(F61)),NOT(ISNUMBER(G61))),"⚠ Largeur ou hauteur manquante",IF(C61="","⚠ Façade manquante",IF(AND(OR(E61="Fenêtre",E61="Châssis fixe"),NOT(ISNUMBER(H61))),"⚠ Hauteur d'allège manquante",IF(AND(E61&lt;&gt;"Fenêtre de toit",IF($B61="R+1",N(Projet!$B$61),N(Projet!$B$60))&gt;0,N(H61)+G61&gt;IF($B61="R+1",N(Projet!$B$61),N(Projet!$B$60))*1000),"⚠ Dépasse la hauteur sous plafond",IF(J61="","⚠ Préciser tableau / hors tout","OK"))))))</f>
        <v/>
      </c>
    </row>
    <row r="62">
      <c r="A62" s="30" t="n"/>
      <c r="B62" s="30" t="n"/>
      <c r="C62" s="30" t="n"/>
      <c r="D62" s="30" t="n"/>
      <c r="E62" s="30" t="n"/>
      <c r="F62" s="31" t="n"/>
      <c r="G62" s="31" t="n"/>
      <c r="H62" s="31" t="n"/>
      <c r="I62" s="31" t="n"/>
      <c r="J62" s="30" t="n"/>
      <c r="K62" s="30" t="n"/>
      <c r="L62" s="30" t="n"/>
      <c r="M62" s="27">
        <f>IF(AND(ISNUMBER(F62),ISNUMBER(G62)),F62*G62/1000000,"")</f>
        <v/>
      </c>
      <c r="N62" s="27">
        <f>IF(M62="","",M62*IF(ISNUMBER(L62),L62,1))</f>
        <v/>
      </c>
      <c r="O62" s="32">
        <f>IF(COUNTA(A62:L62)=0,"",IF(OR(NOT(ISNUMBER(F62)),NOT(ISNUMBER(G62))),"⚠ Largeur ou hauteur manquante",IF(C62="","⚠ Façade manquante",IF(AND(OR(E62="Fenêtre",E62="Châssis fixe"),NOT(ISNUMBER(H62))),"⚠ Hauteur d'allège manquante",IF(AND(E62&lt;&gt;"Fenêtre de toit",IF($B62="R+1",N(Projet!$B$61),N(Projet!$B$60))&gt;0,N(H62)+G62&gt;IF($B62="R+1",N(Projet!$B$61),N(Projet!$B$60))*1000),"⚠ Dépasse la hauteur sous plafond",IF(J62="","⚠ Préciser tableau / hors tout","OK"))))))</f>
        <v/>
      </c>
    </row>
    <row r="63">
      <c r="A63" s="30" t="n"/>
      <c r="B63" s="30" t="n"/>
      <c r="C63" s="30" t="n"/>
      <c r="D63" s="30" t="n"/>
      <c r="E63" s="30" t="n"/>
      <c r="F63" s="31" t="n"/>
      <c r="G63" s="31" t="n"/>
      <c r="H63" s="31" t="n"/>
      <c r="I63" s="31" t="n"/>
      <c r="J63" s="30" t="n"/>
      <c r="K63" s="30" t="n"/>
      <c r="L63" s="30" t="n"/>
      <c r="M63" s="27">
        <f>IF(AND(ISNUMBER(F63),ISNUMBER(G63)),F63*G63/1000000,"")</f>
        <v/>
      </c>
      <c r="N63" s="27">
        <f>IF(M63="","",M63*IF(ISNUMBER(L63),L63,1))</f>
        <v/>
      </c>
      <c r="O63" s="32">
        <f>IF(COUNTA(A63:L63)=0,"",IF(OR(NOT(ISNUMBER(F63)),NOT(ISNUMBER(G63))),"⚠ Largeur ou hauteur manquante",IF(C63="","⚠ Façade manquante",IF(AND(OR(E63="Fenêtre",E63="Châssis fixe"),NOT(ISNUMBER(H63))),"⚠ Hauteur d'allège manquante",IF(AND(E63&lt;&gt;"Fenêtre de toit",IF($B63="R+1",N(Projet!$B$61),N(Projet!$B$60))&gt;0,N(H63)+G63&gt;IF($B63="R+1",N(Projet!$B$61),N(Projet!$B$60))*1000),"⚠ Dépasse la hauteur sous plafond",IF(J63="","⚠ Préciser tableau / hors tout","OK"))))))</f>
        <v/>
      </c>
    </row>
    <row r="64">
      <c r="A64" s="30" t="n"/>
      <c r="B64" s="30" t="n"/>
      <c r="C64" s="30" t="n"/>
      <c r="D64" s="30" t="n"/>
      <c r="E64" s="30" t="n"/>
      <c r="F64" s="31" t="n"/>
      <c r="G64" s="31" t="n"/>
      <c r="H64" s="31" t="n"/>
      <c r="I64" s="31" t="n"/>
      <c r="J64" s="30" t="n"/>
      <c r="K64" s="30" t="n"/>
      <c r="L64" s="30" t="n"/>
      <c r="M64" s="27">
        <f>IF(AND(ISNUMBER(F64),ISNUMBER(G64)),F64*G64/1000000,"")</f>
        <v/>
      </c>
      <c r="N64" s="27">
        <f>IF(M64="","",M64*IF(ISNUMBER(L64),L64,1))</f>
        <v/>
      </c>
      <c r="O64" s="32">
        <f>IF(COUNTA(A64:L64)=0,"",IF(OR(NOT(ISNUMBER(F64)),NOT(ISNUMBER(G64))),"⚠ Largeur ou hauteur manquante",IF(C64="","⚠ Façade manquante",IF(AND(OR(E64="Fenêtre",E64="Châssis fixe"),NOT(ISNUMBER(H64))),"⚠ Hauteur d'allège manquante",IF(AND(E64&lt;&gt;"Fenêtre de toit",IF($B64="R+1",N(Projet!$B$61),N(Projet!$B$60))&gt;0,N(H64)+G64&gt;IF($B64="R+1",N(Projet!$B$61),N(Projet!$B$60))*1000),"⚠ Dépasse la hauteur sous plafond",IF(J64="","⚠ Préciser tableau / hors tout","OK"))))))</f>
        <v/>
      </c>
    </row>
    <row r="65">
      <c r="A65" s="30" t="n"/>
      <c r="B65" s="30" t="n"/>
      <c r="C65" s="30" t="n"/>
      <c r="D65" s="30" t="n"/>
      <c r="E65" s="30" t="n"/>
      <c r="F65" s="31" t="n"/>
      <c r="G65" s="31" t="n"/>
      <c r="H65" s="31" t="n"/>
      <c r="I65" s="31" t="n"/>
      <c r="J65" s="30" t="n"/>
      <c r="K65" s="30" t="n"/>
      <c r="L65" s="30" t="n"/>
      <c r="M65" s="27">
        <f>IF(AND(ISNUMBER(F65),ISNUMBER(G65)),F65*G65/1000000,"")</f>
        <v/>
      </c>
      <c r="N65" s="27">
        <f>IF(M65="","",M65*IF(ISNUMBER(L65),L65,1))</f>
        <v/>
      </c>
      <c r="O65" s="32">
        <f>IF(COUNTA(A65:L65)=0,"",IF(OR(NOT(ISNUMBER(F65)),NOT(ISNUMBER(G65))),"⚠ Largeur ou hauteur manquante",IF(C65="","⚠ Façade manquante",IF(AND(OR(E65="Fenêtre",E65="Châssis fixe"),NOT(ISNUMBER(H65))),"⚠ Hauteur d'allège manquante",IF(AND(E65&lt;&gt;"Fenêtre de toit",IF($B65="R+1",N(Projet!$B$61),N(Projet!$B$60))&gt;0,N(H65)+G65&gt;IF($B65="R+1",N(Projet!$B$61),N(Projet!$B$60))*1000),"⚠ Dépasse la hauteur sous plafond",IF(J65="","⚠ Préciser tableau / hors tout","OK"))))))</f>
        <v/>
      </c>
    </row>
    <row r="66"/>
    <row r="67">
      <c r="A67" s="3" t="inlineStr">
        <is>
          <t>TOTAL</t>
        </is>
      </c>
      <c r="K67" s="3" t="inlineStr">
        <is>
          <t>Nb d'ouvertures</t>
        </is>
      </c>
      <c r="L67" s="33">
        <f>SUMIFS(L6:L65,F6:F65,"&gt;0")+COUNTIFS(F6:F65,"&gt;0",L6:L65,"")</f>
        <v/>
      </c>
      <c r="N67" s="34">
        <f>SUM(N6:N65)</f>
        <v/>
      </c>
      <c r="O67" s="33">
        <f>COUNTIF(O6:O65,"⚠*")&amp;" ligne(s) à corriger"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O6:O65">
    <cfRule type="expression" priority="1" dxfId="1">
      <formula>LEFT(O6,1)="⚠"</formula>
    </cfRule>
    <cfRule type="expression" priority="2" dxfId="2">
      <formula>O6="OK"</formula>
    </cfRule>
  </conditionalFormatting>
  <dataValidations count="7">
    <dataValidation sqref="B6:B65" showDropDown="0" showInputMessage="0" showErrorMessage="1" allowBlank="1" error="Merci de choisir une valeur dans la liste." type="list">
      <formula1>"RDC,R+1,Combles"</formula1>
    </dataValidation>
    <dataValidation sqref="C6:C65" showDropDown="0" showInputMessage="0" showErrorMessage="1" allowBlank="1" error="Merci de choisir une valeur dans la liste." type="list">
      <formula1>"Nord,Sud,Est,Ouest,Autre"</formula1>
    </dataValidation>
    <dataValidation sqref="E6:E65" showDropDown="0" showInputMessage="0" showErrorMessage="1" allowBlank="1" error="Merci de choisir une valeur dans la liste." type="list">
      <formula1>"Fenêtre,Porte-fenêtre,Baie coulissante,Porte d'entrée,Porte de service,Porte de garage,Fenêtre de toit,Châssis fixe"</formula1>
    </dataValidation>
    <dataValidation sqref="J6:J65" showDropDown="0" showInputMessage="0" showErrorMessage="1" allowBlank="1" error="Merci de choisir une valeur dans la liste." type="list">
      <formula1>"Tableau (trou fini),Hors tout menuiserie"</formula1>
    </dataValidation>
    <dataValidation sqref="K6:K65" showDropDown="0" showInputMessage="0" showErrorMessage="1" allowBlank="1" error="Merci de choisir une valeur dans la liste." type="list">
      <formula1>"Aucun,Roulant,Roulant motorisé,Battant,Brise-soleil"</formula1>
    </dataValidation>
    <dataValidation sqref="F6:I65" showDropDown="0" showInputMessage="0" showErrorMessage="1" allowBlank="1" error="Cote en millimètres, nombre entier (ex. : 1250)." type="whole" operator="between">
      <formula1>0</formula1>
      <formula2>20000</formula2>
    </dataValidation>
    <dataValidation sqref="L6:L65" showDropDown="0" showInputMessage="0" showErrorMessage="1" allowBlank="1" error="Quantité entière." type="whole" operator="between">
      <formula1>1</formula1>
      <formula2>99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8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1" customWidth="1" min="10" max="10"/>
  </cols>
  <sheetData>
    <row r="1" ht="28" customHeight="1">
      <c r="A1" s="22" t="inlineStr">
        <is>
          <t>Façades, murs de refend et planchers</t>
        </is>
      </c>
    </row>
    <row r="2" ht="30" customHeight="1">
      <c r="A2" s="23" t="inlineStr">
        <is>
          <t>Cotes extérieures en mètres. Les surfaces d'ouvertures sont reprises automatiquement de l'onglet « Ouvertures ». Si une façade comporte un pignon, indiquer la hauteur du pignon (du haut du mur au faîtage) : il est compté comme un triangle.</t>
        </is>
      </c>
    </row>
    <row r="3"/>
    <row r="4">
      <c r="A4" s="35" t="inlineStr">
        <is>
          <t>A. Façades</t>
        </is>
      </c>
    </row>
    <row r="5" ht="42" customHeight="1">
      <c r="A5" s="24" t="inlineStr">
        <is>
          <t>Façade</t>
        </is>
      </c>
      <c r="B5" s="24" t="inlineStr">
        <is>
          <t>Longueur (m)</t>
        </is>
      </c>
      <c r="C5" s="24" t="inlineStr">
        <is>
          <t>Hauteur mur RDC (m)</t>
        </is>
      </c>
      <c r="D5" s="24" t="inlineStr">
        <is>
          <t>Hauteur mur étage (m)</t>
        </is>
      </c>
      <c r="E5" s="24" t="inlineStr">
        <is>
          <t>Pignon ?</t>
        </is>
      </c>
      <c r="F5" s="24" t="inlineStr">
        <is>
          <t>Hauteur du pignon (m)</t>
        </is>
      </c>
      <c r="G5" s="24" t="inlineStr">
        <is>
          <t>Surface brute (m²)</t>
        </is>
      </c>
      <c r="H5" s="24" t="inlineStr">
        <is>
          <t>Surface ouvertures (m²)</t>
        </is>
      </c>
      <c r="I5" s="24" t="inlineStr">
        <is>
          <t>Surface nette (m²)</t>
        </is>
      </c>
      <c r="J5" s="24" t="inlineStr">
        <is>
          <t>% vitré</t>
        </is>
      </c>
    </row>
    <row r="6">
      <c r="A6" s="36" t="inlineStr">
        <is>
          <t>Nord</t>
        </is>
      </c>
      <c r="B6" s="37" t="n"/>
      <c r="C6" s="37" t="n"/>
      <c r="D6" s="37" t="n"/>
      <c r="E6" s="37" t="n"/>
      <c r="F6" s="37" t="n"/>
      <c r="G6" s="27">
        <f>N(B6)*(N(C6)+N(D6))+IF(E6="Oui",N(B6)*N(F6)/2,0)</f>
        <v/>
      </c>
      <c r="H6" s="27">
        <f>SUMIFS(Ouvertures!$N$6:$N$65,Ouvertures!$C$6:$C$65,A6)</f>
        <v/>
      </c>
      <c r="I6" s="27">
        <f>G6-H6</f>
        <v/>
      </c>
      <c r="J6" s="38">
        <f>IF(G6&gt;0,H6/G6,"")</f>
        <v/>
      </c>
    </row>
    <row r="7">
      <c r="A7" s="36" t="inlineStr">
        <is>
          <t>Sud</t>
        </is>
      </c>
      <c r="B7" s="37" t="n"/>
      <c r="C7" s="37" t="n"/>
      <c r="D7" s="37" t="n"/>
      <c r="E7" s="37" t="n"/>
      <c r="F7" s="37" t="n"/>
      <c r="G7" s="27">
        <f>N(B7)*(N(C7)+N(D7))+IF(E7="Oui",N(B7)*N(F7)/2,0)</f>
        <v/>
      </c>
      <c r="H7" s="27">
        <f>SUMIFS(Ouvertures!$N$6:$N$65,Ouvertures!$C$6:$C$65,A7)</f>
        <v/>
      </c>
      <c r="I7" s="27">
        <f>G7-H7</f>
        <v/>
      </c>
      <c r="J7" s="38">
        <f>IF(G7&gt;0,H7/G7,"")</f>
        <v/>
      </c>
    </row>
    <row r="8">
      <c r="A8" s="36" t="inlineStr">
        <is>
          <t>Est</t>
        </is>
      </c>
      <c r="B8" s="37" t="n"/>
      <c r="C8" s="37" t="n"/>
      <c r="D8" s="37" t="n"/>
      <c r="E8" s="37" t="n"/>
      <c r="F8" s="37" t="n"/>
      <c r="G8" s="27">
        <f>N(B8)*(N(C8)+N(D8))+IF(E8="Oui",N(B8)*N(F8)/2,0)</f>
        <v/>
      </c>
      <c r="H8" s="27">
        <f>SUMIFS(Ouvertures!$N$6:$N$65,Ouvertures!$C$6:$C$65,A8)</f>
        <v/>
      </c>
      <c r="I8" s="27">
        <f>G8-H8</f>
        <v/>
      </c>
      <c r="J8" s="38">
        <f>IF(G8&gt;0,H8/G8,"")</f>
        <v/>
      </c>
    </row>
    <row r="9">
      <c r="A9" s="36" t="inlineStr">
        <is>
          <t>Ouest</t>
        </is>
      </c>
      <c r="B9" s="37" t="n"/>
      <c r="C9" s="37" t="n"/>
      <c r="D9" s="37" t="n"/>
      <c r="E9" s="37" t="n"/>
      <c r="F9" s="37" t="n"/>
      <c r="G9" s="27">
        <f>N(B9)*(N(C9)+N(D9))+IF(E9="Oui",N(B9)*N(F9)/2,0)</f>
        <v/>
      </c>
      <c r="H9" s="27">
        <f>SUMIFS(Ouvertures!$N$6:$N$65,Ouvertures!$C$6:$C$65,A9)</f>
        <v/>
      </c>
      <c r="I9" s="27">
        <f>G9-H9</f>
        <v/>
      </c>
      <c r="J9" s="38">
        <f>IF(G9&gt;0,H9/G9,"")</f>
        <v/>
      </c>
    </row>
    <row r="10">
      <c r="A10" s="36" t="inlineStr">
        <is>
          <t>Autre</t>
        </is>
      </c>
      <c r="B10" s="37" t="n"/>
      <c r="C10" s="37" t="n"/>
      <c r="D10" s="37" t="n"/>
      <c r="E10" s="37" t="n"/>
      <c r="F10" s="37" t="n"/>
      <c r="G10" s="27">
        <f>N(B10)*(N(C10)+N(D10))+IF(E10="Oui",N(B10)*N(F10)/2,0)</f>
        <v/>
      </c>
      <c r="H10" s="27">
        <f>SUMIFS(Ouvertures!$N$6:$N$65,Ouvertures!$C$6:$C$65,A10)</f>
        <v/>
      </c>
      <c r="I10" s="27">
        <f>G10-H10</f>
        <v/>
      </c>
      <c r="J10" s="38">
        <f>IF(G10&gt;0,H10/G10,"")</f>
        <v/>
      </c>
    </row>
    <row r="11">
      <c r="A11" s="39" t="inlineStr">
        <is>
          <t>TOTAL</t>
        </is>
      </c>
      <c r="B11" s="39">
        <f>SUM(B6:B10)</f>
        <v/>
      </c>
      <c r="G11" s="39">
        <f>SUM(G6:G10)</f>
        <v/>
      </c>
      <c r="H11" s="39">
        <f>SUM(H6:H10)</f>
        <v/>
      </c>
      <c r="I11" s="39">
        <f>SUM(I6:I10)</f>
        <v/>
      </c>
      <c r="J11" s="40">
        <f>IF(G11&gt;0,H11/G11,"")</f>
        <v/>
      </c>
    </row>
    <row r="12">
      <c r="A12" s="41" t="inlineStr">
        <is>
          <t>Contrôle : périmètre (Nord + Sud + Est + Ouest) =</t>
        </is>
      </c>
      <c r="E12" s="42">
        <f>SUM(B6:B9)</f>
        <v/>
      </c>
    </row>
    <row r="13"/>
    <row r="14"/>
    <row r="15">
      <c r="A15" s="35" t="inlineStr">
        <is>
          <t>B. Murs de refend porteurs (murs intérieurs qui portent un plancher ou la charpente)</t>
        </is>
      </c>
    </row>
    <row r="16" ht="42" customHeight="1">
      <c r="A16" s="24" t="inlineStr">
        <is>
          <t>Repère</t>
        </is>
      </c>
      <c r="B16" s="24" t="inlineStr">
        <is>
          <t>Niveau</t>
        </is>
      </c>
      <c r="C16" s="24" t="inlineStr">
        <is>
          <t>Longueur (m)</t>
        </is>
      </c>
      <c r="D16" s="24" t="inlineStr">
        <is>
          <t>Hauteur (m)</t>
        </is>
      </c>
      <c r="E16" s="24" t="inlineStr">
        <is>
          <t>Ouverture
(porte) ?</t>
        </is>
      </c>
    </row>
    <row r="17">
      <c r="A17" s="43" t="n"/>
      <c r="B17" s="43" t="n"/>
      <c r="C17" s="44" t="n"/>
      <c r="D17" s="44" t="n"/>
      <c r="E17" s="43" t="n"/>
    </row>
    <row r="18">
      <c r="A18" s="43" t="n"/>
      <c r="B18" s="43" t="n"/>
      <c r="C18" s="44" t="n"/>
      <c r="D18" s="44" t="n"/>
      <c r="E18" s="43" t="n"/>
    </row>
    <row r="19">
      <c r="A19" s="43" t="n"/>
      <c r="B19" s="43" t="n"/>
      <c r="C19" s="44" t="n"/>
      <c r="D19" s="44" t="n"/>
      <c r="E19" s="43" t="n"/>
    </row>
    <row r="20">
      <c r="A20" s="43" t="n"/>
      <c r="B20" s="43" t="n"/>
      <c r="C20" s="44" t="n"/>
      <c r="D20" s="44" t="n"/>
      <c r="E20" s="43" t="n"/>
    </row>
    <row r="21">
      <c r="A21" s="43" t="n"/>
      <c r="B21" s="43" t="n"/>
      <c r="C21" s="44" t="n"/>
      <c r="D21" s="44" t="n"/>
      <c r="E21" s="43" t="n"/>
    </row>
    <row r="22">
      <c r="A22" s="43" t="n"/>
      <c r="B22" s="43" t="n"/>
      <c r="C22" s="44" t="n"/>
      <c r="D22" s="44" t="n"/>
      <c r="E22" s="43" t="n"/>
    </row>
    <row r="23">
      <c r="A23" s="33" t="inlineStr">
        <is>
          <t>Linéaire total</t>
        </is>
      </c>
      <c r="C23" s="45">
        <f>SUM(C17:C22)</f>
        <v/>
      </c>
    </row>
    <row r="24"/>
    <row r="25"/>
    <row r="26">
      <c r="A26" s="35" t="inlineStr">
        <is>
          <t>C. Planchers</t>
        </is>
      </c>
    </row>
    <row r="27" ht="42" customHeight="1">
      <c r="A27" s="24" t="inlineStr">
        <is>
          <t>Plancher</t>
        </is>
      </c>
      <c r="B27" s="24" t="inlineStr">
        <is>
          <t>Surface (m²)</t>
        </is>
      </c>
      <c r="C27" s="24" t="inlineStr">
        <is>
          <t>Plus grande portée (m)</t>
        </is>
      </c>
      <c r="D27" s="24" t="inlineStr">
        <is>
          <t>Usage</t>
        </is>
      </c>
      <c r="E27" s="24" t="inlineStr">
        <is>
          <t>Revêtement prévu</t>
        </is>
      </c>
    </row>
    <row r="28" ht="26" customHeight="1">
      <c r="A28" s="46" t="inlineStr">
        <is>
          <t>Plancher bas (si vide sanitaire)</t>
        </is>
      </c>
      <c r="B28" s="47" t="n"/>
      <c r="C28" s="37" t="n"/>
      <c r="D28" s="30" t="n"/>
      <c r="E28" s="30" t="n"/>
      <c r="G28" s="41" t="inlineStr">
        <is>
          <t>La portée = distance libre entre deux appuis (murs porteurs ou poutres).</t>
        </is>
      </c>
    </row>
    <row r="29" ht="26" customHeight="1">
      <c r="A29" s="46" t="inlineStr">
        <is>
          <t>Plancher R+1</t>
        </is>
      </c>
      <c r="B29" s="47" t="n"/>
      <c r="C29" s="37" t="n"/>
      <c r="D29" s="30" t="n"/>
      <c r="E29" s="30" t="n"/>
      <c r="G29" s="41" t="inlineStr">
        <is>
          <t>Carrelage et chape alourdissent fortement le plancher : merci de les signaler.</t>
        </is>
      </c>
    </row>
    <row r="30" ht="26" customHeight="1">
      <c r="A30" s="46" t="inlineStr">
        <is>
          <t>Plancher combles</t>
        </is>
      </c>
      <c r="B30" s="47" t="n"/>
      <c r="C30" s="37" t="n"/>
      <c r="D30" s="30" t="n"/>
      <c r="E30" s="3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J1"/>
    <mergeCell ref="A2:J2"/>
  </mergeCells>
  <dataValidations count="5">
    <dataValidation sqref="E6 E7 E8 E9 E10 E17 E18 E19 E20 E21 E22" showDropDown="0" showInputMessage="0" showErrorMessage="0" allowBlank="1" type="list">
      <formula1>"Oui,Non"</formula1>
    </dataValidation>
    <dataValidation sqref="B6:D6 B7:D7 B8:D8 B9:D9 B10:D10 C17:D17 C18:D18 C19:D19 C20:D20 C21:D21 C22:D22 C28 C29 C30 F6 F7 F8 F9 F10" showDropDown="0" showInputMessage="0" showErrorMessage="1" allowBlank="1" error="Cote en mètres (ex. : 12,40)." type="decimal" operator="between">
      <formula1>0</formula1>
      <formula2>100</formula2>
    </dataValidation>
    <dataValidation sqref="B17 B18 B19 B20 B21 B22" showDropDown="0" showInputMessage="0" showErrorMessage="0" allowBlank="1" type="list">
      <formula1>"RDC,R+1,Combles"</formula1>
    </dataValidation>
    <dataValidation sqref="D28 D29 D30" showDropDown="0" showInputMessage="0" showErrorMessage="0" allowBlank="1" type="list">
      <formula1>"Habitation,Combles aménagés,Combles perdus,Terrasse / balcon"</formula1>
    </dataValidation>
    <dataValidation sqref="E28 E29 E30" showDropDown="0" showInputMessage="0" showErrorMessage="0" allowBlank="1" type="list">
      <formula1>"Parquet / stratifié,Carrelage,Chape + carrelage,Autre"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="10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0" customWidth="1" min="3" max="3"/>
    <col width="10" customWidth="1" min="4" max="4"/>
    <col width="34" customWidth="1" min="6" max="6"/>
    <col width="8" customWidth="1" min="7" max="7"/>
  </cols>
  <sheetData>
    <row r="1">
      <c r="A1" s="48" t="inlineStr">
        <is>
          <t>QUALIFICATION INTERNE BLOKIWOOD — onglet masqué, ne pas transmettre</t>
        </is>
      </c>
    </row>
    <row r="3">
      <c r="A3" s="49" t="inlineStr">
        <is>
          <t>Critère</t>
        </is>
      </c>
      <c r="B3" s="49" t="inlineStr">
        <is>
          <t>Réponse du client</t>
        </is>
      </c>
      <c r="C3" s="49" t="inlineStr">
        <is>
          <t>Points</t>
        </is>
      </c>
      <c r="D3" s="49" t="inlineStr">
        <is>
          <t>Max</t>
        </is>
      </c>
      <c r="F3" s="50" t="inlineStr">
        <is>
          <t>Barème (clé|réponse)</t>
        </is>
      </c>
      <c r="G3" s="50" t="inlineStr">
        <is>
          <t>Points</t>
        </is>
      </c>
    </row>
    <row r="4">
      <c r="A4" s="51" t="inlineStr">
        <is>
          <t>Niveau d'avancement</t>
        </is>
      </c>
      <c r="B4" s="51">
        <f>Projet!$B$24&amp;""</f>
        <v/>
      </c>
      <c r="C4" s="51">
        <f>IFERROR(VLOOKUP("avancement|"&amp;Projet!$B$24,$F$4:$G$26,2,FALSE),0)</f>
        <v/>
      </c>
      <c r="D4" s="51" t="n">
        <v>25</v>
      </c>
      <c r="F4" s="52" t="inlineStr">
        <is>
          <t>avancement|Idée</t>
        </is>
      </c>
      <c r="G4" s="53" t="n">
        <v>0</v>
      </c>
    </row>
    <row r="5">
      <c r="A5" s="51" t="inlineStr">
        <is>
          <t>Statut du terrain</t>
        </is>
      </c>
      <c r="B5" s="51">
        <f>Projet!$B$17&amp;""</f>
        <v/>
      </c>
      <c r="C5" s="51">
        <f>IFERROR(VLOOKUP("t_statut|"&amp;Projet!$B$17,$F$4:$G$26,2,FALSE),0)</f>
        <v/>
      </c>
      <c r="D5" s="51" t="n">
        <v>10</v>
      </c>
      <c r="F5" s="52" t="inlineStr">
        <is>
          <t>avancement|Terrain trouvé</t>
        </is>
      </c>
      <c r="G5" s="53" t="n">
        <v>5</v>
      </c>
    </row>
    <row r="6">
      <c r="A6" s="51" t="inlineStr">
        <is>
          <t>Financement (accord bancaire ou fonds propres)</t>
        </is>
      </c>
      <c r="B6" s="51">
        <f>Projet!$B$38&amp;" / "&amp;Projet!$B$39</f>
        <v/>
      </c>
      <c r="C6" s="51">
        <f>IF(Projet!$B$38="Fonds propres",15,IFERROR(VLOOKUP("fin_accord|"&amp;Projet!$B$39,$F$4:$G$26,2,FALSE),0))</f>
        <v/>
      </c>
      <c r="D6" s="51" t="n">
        <v>15</v>
      </c>
      <c r="F6" s="52" t="inlineStr">
        <is>
          <t>avancement|Terrain acquis</t>
        </is>
      </c>
      <c r="G6" s="53" t="n">
        <v>10</v>
      </c>
    </row>
    <row r="7">
      <c r="A7" s="51" t="inlineStr">
        <is>
          <t>Étude de sol G2</t>
        </is>
      </c>
      <c r="B7" s="51">
        <f>Projet!$B$28&amp;""</f>
        <v/>
      </c>
      <c r="C7" s="51">
        <f>IFERROR(VLOOKUP("sol|"&amp;Projet!$B$28,$F$4:$G$26,2,FALSE),0)</f>
        <v/>
      </c>
      <c r="D7" s="51" t="n">
        <v>10</v>
      </c>
      <c r="F7" s="52" t="inlineStr">
        <is>
          <t>avancement|PC en préparation</t>
        </is>
      </c>
      <c r="G7" s="53" t="n">
        <v>15</v>
      </c>
    </row>
    <row r="8">
      <c r="A8" s="51" t="inlineStr">
        <is>
          <t>Montage du kit</t>
        </is>
      </c>
      <c r="B8" s="51">
        <f>Projet!$B$32&amp;""</f>
        <v/>
      </c>
      <c r="C8" s="51">
        <f>IFERROR(VLOOKUP("pose|"&amp;Projet!$B$32,$F$4:$G$26,2,FALSE),0)</f>
        <v/>
      </c>
      <c r="D8" s="51" t="n">
        <v>10</v>
      </c>
      <c r="F8" s="52" t="inlineStr">
        <is>
          <t>avancement|PC déposé</t>
        </is>
      </c>
      <c r="G8" s="53" t="n">
        <v>20</v>
      </c>
    </row>
    <row r="9">
      <c r="A9" s="51" t="inlineStr">
        <is>
          <t>Assurance dommages-ouvrage</t>
        </is>
      </c>
      <c r="B9" s="51">
        <f>Projet!$B$40&amp;""</f>
        <v/>
      </c>
      <c r="C9" s="51">
        <f>IFERROR(VLOOKUP("do|"&amp;Projet!$B$40,$F$4:$G$26,2,FALSE),0)</f>
        <v/>
      </c>
      <c r="D9" s="51" t="n">
        <v>5</v>
      </c>
      <c r="F9" s="52" t="inlineStr">
        <is>
          <t>avancement|PC obtenu</t>
        </is>
      </c>
      <c r="G9" s="53" t="n">
        <v>25</v>
      </c>
    </row>
    <row r="10">
      <c r="A10" s="51" t="inlineStr">
        <is>
          <t>Début des fondations sous 12 mois</t>
        </is>
      </c>
      <c r="B10" s="54">
        <f>IF(ISNUMBER(Projet!$B$43),Projet!$B$43,"")</f>
        <v/>
      </c>
      <c r="C10" s="51">
        <f>IF(AND(ISNUMBER(Projet!$B$43),Projet!$B$43-TODAY()&lt;=365),5,0)</f>
        <v/>
      </c>
      <c r="D10" s="51" t="n">
        <v>5</v>
      </c>
      <c r="F10" s="52" t="inlineStr">
        <is>
          <t>t_statut|Acquis</t>
        </is>
      </c>
      <c r="G10" s="53" t="n">
        <v>10</v>
      </c>
    </row>
    <row r="11">
      <c r="A11" s="51" t="inlineStr">
        <is>
          <t>Pièces jointes fournies (sur 7)</t>
        </is>
      </c>
      <c r="B11" s="51">
        <f>(Projet!$B$87="Joint")+(Projet!$B$88="Joint")+(Projet!$B$89="Joint")+(Projet!$B$90="Joint")+(Projet!$B$91="Joint")+(Projet!$B$92="Joint")+(Projet!$B$93="Joint")</f>
        <v/>
      </c>
      <c r="C11" s="51">
        <f>ROUND(((Projet!$B$87="Joint")+(Projet!$B$88="Joint")+(Projet!$B$89="Joint")+(Projet!$B$90="Joint")+(Projet!$B$91="Joint")+(Projet!$B$92="Joint")+(Projet!$B$93="Joint"))/7*10,0)</f>
        <v/>
      </c>
      <c r="D11" s="51" t="n">
        <v>10</v>
      </c>
      <c r="F11" s="52" t="inlineStr">
        <is>
          <t>t_statut|Sous compromis</t>
        </is>
      </c>
      <c r="G11" s="53" t="n">
        <v>6</v>
      </c>
    </row>
    <row r="12">
      <c r="A12" s="51" t="inlineStr">
        <is>
          <t>Taux de complétion du dossier</t>
        </is>
      </c>
      <c r="B12" s="55">
        <f>Projet!$B$4</f>
        <v/>
      </c>
      <c r="C12" s="51">
        <f>ROUND(Projet!$B$4*10,0)</f>
        <v/>
      </c>
      <c r="D12" s="51" t="n">
        <v>10</v>
      </c>
      <c r="F12" s="52" t="inlineStr">
        <is>
          <t>t_statut|En recherche</t>
        </is>
      </c>
      <c r="G12" s="53" t="n">
        <v>0</v>
      </c>
    </row>
    <row r="13">
      <c r="A13" s="56" t="inlineStr">
        <is>
          <t>SCORE DE MATURITÉ</t>
        </is>
      </c>
      <c r="C13" s="56">
        <f>SUM(C4:C12)</f>
        <v/>
      </c>
      <c r="D13" s="56">
        <f>SUM(D4:D12)</f>
        <v/>
      </c>
      <c r="F13" s="52" t="inlineStr">
        <is>
          <t>fin_accord|Oui</t>
        </is>
      </c>
      <c r="G13" s="53" t="n">
        <v>15</v>
      </c>
    </row>
    <row r="14">
      <c r="A14" s="6" t="inlineStr">
        <is>
          <t>Verdict</t>
        </is>
      </c>
      <c r="B14" s="35">
        <f>IF(C13&gt;=65,"Projet mûr : prioritaire",IF(C13&gt;=40,"Projet en cours : chiffrer puis relancer","Projet précoce : proposer une étude payante"))</f>
        <v/>
      </c>
      <c r="F14" s="52" t="inlineStr">
        <is>
          <t>fin_accord|En cours</t>
        </is>
      </c>
      <c r="G14" s="53" t="n">
        <v>8</v>
      </c>
    </row>
    <row r="15">
      <c r="A15" s="41" t="inlineStr">
        <is>
          <t>Seuils : 65 et plus = mûr ; 40 à 64 = en cours ; moins de 40 = précoce.</t>
        </is>
      </c>
      <c r="F15" s="52" t="inlineStr">
        <is>
          <t>fin_accord|Non</t>
        </is>
      </c>
      <c r="G15" s="53" t="n">
        <v>0</v>
      </c>
    </row>
    <row r="16">
      <c r="F16" s="52" t="inlineStr">
        <is>
          <t>sol|Réalisée</t>
        </is>
      </c>
      <c r="G16" s="53" t="n">
        <v>10</v>
      </c>
    </row>
    <row r="17">
      <c r="A17" s="35" t="inlineStr">
        <is>
          <t>Infos commerciales</t>
        </is>
      </c>
      <c r="F17" s="52" t="inlineStr">
        <is>
          <t>sol|Commandée</t>
        </is>
      </c>
      <c r="G17" s="53" t="n">
        <v>6</v>
      </c>
    </row>
    <row r="18">
      <c r="A18" s="57" t="inlineStr">
        <is>
          <t>Budget annoncé</t>
        </is>
      </c>
      <c r="B18" s="58">
        <f>Projet!$B$37</f>
        <v/>
      </c>
      <c r="F18" s="52" t="inlineStr">
        <is>
          <t>sol|Non</t>
        </is>
      </c>
      <c r="G18" s="53" t="n">
        <v>0</v>
      </c>
    </row>
    <row r="19">
      <c r="A19" s="57" t="inlineStr">
        <is>
          <t>Budget / m² habitable</t>
        </is>
      </c>
      <c r="B19" s="59">
        <f>IF(AND(N(Projet!$B$37)&gt;0,N(Projet!$B$57)&gt;0),Projet!$B$37/Projet!$B$57,"")</f>
        <v/>
      </c>
      <c r="F19" s="52" t="inlineStr">
        <is>
          <t>pose|Artisan choisi</t>
        </is>
      </c>
      <c r="G19" s="53" t="n">
        <v>10</v>
      </c>
    </row>
    <row r="20">
      <c r="A20" s="57" t="inlineStr">
        <is>
          <t>Autres devis demandés</t>
        </is>
      </c>
      <c r="B20" s="60">
        <f>Projet!$B$45&amp;""</f>
        <v/>
      </c>
      <c r="F20" s="52" t="inlineStr">
        <is>
          <t>pose|Auto-construction</t>
        </is>
      </c>
      <c r="G20" s="53" t="n">
        <v>6</v>
      </c>
    </row>
    <row r="21">
      <c r="A21" s="57" t="inlineStr">
        <is>
          <t>Date de décision annoncée</t>
        </is>
      </c>
      <c r="B21" s="61">
        <f>IF(ISNUMBER(Projet!$B$46),Projet!$B$46,"")</f>
        <v/>
      </c>
      <c r="F21" s="52" t="inlineStr">
        <is>
          <t>pose|Recherche d'un poseur</t>
        </is>
      </c>
      <c r="G21" s="53" t="n">
        <v>4</v>
      </c>
    </row>
    <row r="22">
      <c r="A22" s="57" t="inlineStr">
        <is>
          <t>Nombre d'ouvertures saisies</t>
        </is>
      </c>
      <c r="B22" s="62">
        <f>Ouvertures!$L$67</f>
        <v/>
      </c>
      <c r="F22" s="52" t="inlineStr">
        <is>
          <t>pose|À définir</t>
        </is>
      </c>
      <c r="G22" s="53" t="n">
        <v>0</v>
      </c>
    </row>
    <row r="23">
      <c r="A23" s="57" t="inlineStr">
        <is>
          <t>Lignes d'ouvertures à corriger</t>
        </is>
      </c>
      <c r="B23" s="62">
        <f>COUNTIF(Ouvertures!$O$6:$O$65,"⚠*")</f>
        <v/>
      </c>
      <c r="F23" s="52" t="inlineStr">
        <is>
          <t>do|Oui</t>
        </is>
      </c>
      <c r="G23" s="53" t="n">
        <v>5</v>
      </c>
    </row>
    <row r="24">
      <c r="A24" s="57" t="inlineStr">
        <is>
          <t>Surface murs extérieurs (m²)</t>
        </is>
      </c>
      <c r="B24" s="63">
        <f>'Façades et planchers'!$G$11</f>
        <v/>
      </c>
      <c r="F24" s="52" t="inlineStr">
        <is>
          <t>do|En cours</t>
        </is>
      </c>
      <c r="G24" s="53" t="n">
        <v>3</v>
      </c>
    </row>
    <row r="25">
      <c r="F25" s="52" t="inlineStr">
        <is>
          <t>do|Non</t>
        </is>
      </c>
      <c r="G25" s="53" t="n">
        <v>0</v>
      </c>
    </row>
    <row r="26">
      <c r="A26" s="41" t="inlineStr">
        <is>
          <t>Note : un budget inférieur à ~1 500 €/m² habitable pour une maison complète mérite d'être questionné.</t>
        </is>
      </c>
      <c r="F26" s="52" t="inlineStr">
        <is>
          <t>do|Ne sais pas</t>
        </is>
      </c>
      <c r="G26" s="53" t="n">
        <v>0</v>
      </c>
    </row>
    <row r="27">
      <c r="F27" s="41" t="inlineStr">
        <is>
          <t>Points modifiables (texte bleu).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2026-10-20T06:57:06Z</dcterms:created>
  <dcterms:modified xmlns:dcterms="http://purl.org/dc/terms/" xmlns:xsi="http://www.w3.org/2001/XMLSchema-instance" xsi:type="dcterms:W3CDTF">2026-10-20T06:57:06Z</dcterms:modified>
</cp:coreProperties>
</file>